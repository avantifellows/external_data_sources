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F:\PLFS\PLFSAnnual2025-P5\RELEASE\FINAL_DATA_2025\CALENDAR_YEAR_TXT_2025\"/>
    </mc:Choice>
  </mc:AlternateContent>
  <xr:revisionPtr revIDLastSave="0" documentId="13_ncr:1_{285BF848-BD45-4ABF-ABA3-964B9D91978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 Layout" sheetId="1" r:id="rId1"/>
    <sheet name="CHHV1" sheetId="3" r:id="rId2"/>
    <sheet name="CPERV1" sheetId="4" r:id="rId3"/>
    <sheet name="hhrv" sheetId="5" state="hidden" r:id="rId4"/>
    <sheet name="perrv" sheetId="6" state="hidden" r:id="rId5"/>
    <sheet name="perv1 (2)" sheetId="10" state="hidden" r:id="rId6"/>
  </sheets>
  <definedNames>
    <definedName name="_xlnm._FilterDatabase" localSheetId="1" hidden="1">CHHV1!$A$1:$H$48</definedName>
    <definedName name="_xlnm._FilterDatabase" localSheetId="2" hidden="1">CPERV1!$A$1:$H$153</definedName>
    <definedName name="_xlnm._FilterDatabase" localSheetId="5" hidden="1">'perv1 (2)'!$A$1:$P$186</definedName>
    <definedName name="_Hlk183704667" localSheetId="0">'Data Layout'!$B$37</definedName>
    <definedName name="_Hlk183705042" localSheetId="0">'Data Layout'!$B$38</definedName>
    <definedName name="_Hlk183705232" localSheetId="0">'Data Layout'!$B$39</definedName>
    <definedName name="_Hlk183705312" localSheetId="0">'Data Layout'!$B$40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54" i="4" l="1"/>
  <c r="F154" i="4"/>
  <c r="F49" i="3"/>
  <c r="G49" i="3"/>
  <c r="G209" i="1"/>
  <c r="F209" i="1"/>
  <c r="F51" i="1"/>
  <c r="G51" i="1"/>
  <c r="F44" i="1"/>
  <c r="G44" i="1"/>
  <c r="F45" i="1"/>
  <c r="G45" i="1"/>
  <c r="F46" i="1"/>
  <c r="G46" i="1"/>
  <c r="F47" i="1" s="1"/>
  <c r="G47" i="1"/>
  <c r="F48" i="1"/>
  <c r="G48" i="1"/>
  <c r="F49" i="1"/>
  <c r="G49" i="1"/>
  <c r="F50" i="1"/>
  <c r="G50" i="1"/>
  <c r="G2" i="4"/>
  <c r="G2" i="3"/>
  <c r="G3" i="3" s="1"/>
  <c r="F3" i="4" l="1"/>
  <c r="F4" i="3"/>
  <c r="G4" i="3"/>
  <c r="F3" i="3"/>
  <c r="G3" i="4"/>
  <c r="N186" i="10"/>
  <c r="J186" i="10"/>
  <c r="N185" i="10"/>
  <c r="J185" i="10"/>
  <c r="N184" i="10"/>
  <c r="J184" i="10"/>
  <c r="N183" i="10"/>
  <c r="J183" i="10"/>
  <c r="N182" i="10"/>
  <c r="J182" i="10"/>
  <c r="N181" i="10"/>
  <c r="J181" i="10"/>
  <c r="N180" i="10"/>
  <c r="J180" i="10"/>
  <c r="N179" i="10"/>
  <c r="J179" i="10"/>
  <c r="N178" i="10"/>
  <c r="J178" i="10"/>
  <c r="N177" i="10"/>
  <c r="J177" i="10"/>
  <c r="N176" i="10"/>
  <c r="J176" i="10"/>
  <c r="N175" i="10"/>
  <c r="J175" i="10"/>
  <c r="N174" i="10"/>
  <c r="J174" i="10"/>
  <c r="N173" i="10"/>
  <c r="J173" i="10"/>
  <c r="N172" i="10"/>
  <c r="J172" i="10"/>
  <c r="N171" i="10"/>
  <c r="J171" i="10"/>
  <c r="N170" i="10"/>
  <c r="J170" i="10"/>
  <c r="N169" i="10"/>
  <c r="J169" i="10"/>
  <c r="N168" i="10"/>
  <c r="J168" i="10"/>
  <c r="N167" i="10"/>
  <c r="J167" i="10"/>
  <c r="N166" i="10"/>
  <c r="J166" i="10"/>
  <c r="N165" i="10"/>
  <c r="J165" i="10"/>
  <c r="N164" i="10"/>
  <c r="J164" i="10"/>
  <c r="N163" i="10"/>
  <c r="J163" i="10"/>
  <c r="N162" i="10"/>
  <c r="J162" i="10"/>
  <c r="N161" i="10"/>
  <c r="J161" i="10"/>
  <c r="N160" i="10"/>
  <c r="J160" i="10"/>
  <c r="N159" i="10"/>
  <c r="J159" i="10"/>
  <c r="N158" i="10"/>
  <c r="J158" i="10"/>
  <c r="N157" i="10"/>
  <c r="J157" i="10"/>
  <c r="N156" i="10"/>
  <c r="J156" i="10"/>
  <c r="N155" i="10"/>
  <c r="J155" i="10"/>
  <c r="N154" i="10"/>
  <c r="J154" i="10"/>
  <c r="N153" i="10"/>
  <c r="J153" i="10"/>
  <c r="N152" i="10"/>
  <c r="J152" i="10"/>
  <c r="N151" i="10"/>
  <c r="I151" i="10"/>
  <c r="J151" i="10" s="1"/>
  <c r="H151" i="10"/>
  <c r="G151" i="10"/>
  <c r="N150" i="10"/>
  <c r="I150" i="10"/>
  <c r="J150" i="10" s="1"/>
  <c r="H150" i="10"/>
  <c r="G150" i="10"/>
  <c r="N149" i="10"/>
  <c r="I149" i="10"/>
  <c r="J149" i="10" s="1"/>
  <c r="H149" i="10"/>
  <c r="G149" i="10"/>
  <c r="N148" i="10"/>
  <c r="I148" i="10"/>
  <c r="J148" i="10" s="1"/>
  <c r="H148" i="10"/>
  <c r="G148" i="10"/>
  <c r="N147" i="10"/>
  <c r="I147" i="10"/>
  <c r="J147" i="10" s="1"/>
  <c r="H147" i="10"/>
  <c r="G147" i="10"/>
  <c r="N146" i="10"/>
  <c r="J146" i="10"/>
  <c r="I146" i="10"/>
  <c r="H146" i="10"/>
  <c r="G146" i="10"/>
  <c r="N145" i="10"/>
  <c r="I145" i="10"/>
  <c r="J145" i="10" s="1"/>
  <c r="H145" i="10"/>
  <c r="G145" i="10"/>
  <c r="N144" i="10"/>
  <c r="J144" i="10"/>
  <c r="I144" i="10"/>
  <c r="H144" i="10"/>
  <c r="G144" i="10"/>
  <c r="N143" i="10"/>
  <c r="I143" i="10"/>
  <c r="J143" i="10" s="1"/>
  <c r="H143" i="10"/>
  <c r="G143" i="10"/>
  <c r="O142" i="10"/>
  <c r="J142" i="10"/>
  <c r="I142" i="10"/>
  <c r="H142" i="10"/>
  <c r="G142" i="10"/>
  <c r="O141" i="10"/>
  <c r="I141" i="10"/>
  <c r="J141" i="10" s="1"/>
  <c r="H141" i="10"/>
  <c r="G141" i="10"/>
  <c r="N140" i="10"/>
  <c r="I140" i="10"/>
  <c r="J140" i="10" s="1"/>
  <c r="H140" i="10"/>
  <c r="G140" i="10"/>
  <c r="N139" i="10"/>
  <c r="I139" i="10"/>
  <c r="J139" i="10" s="1"/>
  <c r="H139" i="10"/>
  <c r="G139" i="10"/>
  <c r="N138" i="10"/>
  <c r="I138" i="10"/>
  <c r="J138" i="10" s="1"/>
  <c r="H138" i="10"/>
  <c r="G138" i="10"/>
  <c r="N137" i="10"/>
  <c r="I137" i="10"/>
  <c r="J137" i="10" s="1"/>
  <c r="H137" i="10"/>
  <c r="G137" i="10"/>
  <c r="N136" i="10"/>
  <c r="I136" i="10"/>
  <c r="J136" i="10" s="1"/>
  <c r="H136" i="10"/>
  <c r="G136" i="10"/>
  <c r="N135" i="10"/>
  <c r="I135" i="10"/>
  <c r="J135" i="10" s="1"/>
  <c r="H135" i="10"/>
  <c r="G135" i="10"/>
  <c r="N134" i="10"/>
  <c r="I134" i="10"/>
  <c r="J134" i="10" s="1"/>
  <c r="H134" i="10"/>
  <c r="G134" i="10"/>
  <c r="N133" i="10"/>
  <c r="I133" i="10"/>
  <c r="J133" i="10" s="1"/>
  <c r="H133" i="10"/>
  <c r="G133" i="10"/>
  <c r="N132" i="10"/>
  <c r="J132" i="10"/>
  <c r="I132" i="10"/>
  <c r="H132" i="10"/>
  <c r="G132" i="10"/>
  <c r="N131" i="10"/>
  <c r="I131" i="10"/>
  <c r="J131" i="10" s="1"/>
  <c r="H131" i="10"/>
  <c r="G131" i="10"/>
  <c r="N130" i="10"/>
  <c r="I130" i="10"/>
  <c r="J130" i="10" s="1"/>
  <c r="H130" i="10"/>
  <c r="G130" i="10"/>
  <c r="N129" i="10"/>
  <c r="I129" i="10"/>
  <c r="J129" i="10" s="1"/>
  <c r="H129" i="10"/>
  <c r="G129" i="10"/>
  <c r="N128" i="10"/>
  <c r="J128" i="10"/>
  <c r="I128" i="10"/>
  <c r="H128" i="10"/>
  <c r="G128" i="10"/>
  <c r="N127" i="10"/>
  <c r="I127" i="10"/>
  <c r="J127" i="10" s="1"/>
  <c r="H127" i="10"/>
  <c r="G127" i="10"/>
  <c r="N126" i="10"/>
  <c r="J126" i="10"/>
  <c r="I126" i="10"/>
  <c r="H126" i="10"/>
  <c r="G126" i="10"/>
  <c r="N125" i="10"/>
  <c r="I125" i="10"/>
  <c r="J125" i="10" s="1"/>
  <c r="H125" i="10"/>
  <c r="G125" i="10"/>
  <c r="N124" i="10"/>
  <c r="J124" i="10"/>
  <c r="I124" i="10"/>
  <c r="H124" i="10"/>
  <c r="G124" i="10"/>
  <c r="N123" i="10"/>
  <c r="I123" i="10"/>
  <c r="J123" i="10" s="1"/>
  <c r="H123" i="10"/>
  <c r="G123" i="10"/>
  <c r="N122" i="10"/>
  <c r="I122" i="10"/>
  <c r="J122" i="10" s="1"/>
  <c r="H122" i="10"/>
  <c r="G122" i="10"/>
  <c r="N121" i="10"/>
  <c r="I121" i="10"/>
  <c r="J121" i="10" s="1"/>
  <c r="H121" i="10"/>
  <c r="G121" i="10"/>
  <c r="N120" i="10"/>
  <c r="I120" i="10"/>
  <c r="J120" i="10" s="1"/>
  <c r="H120" i="10"/>
  <c r="G120" i="10"/>
  <c r="N119" i="10"/>
  <c r="I119" i="10"/>
  <c r="J119" i="10" s="1"/>
  <c r="H119" i="10"/>
  <c r="G119" i="10"/>
  <c r="N118" i="10"/>
  <c r="I118" i="10"/>
  <c r="J118" i="10" s="1"/>
  <c r="H118" i="10"/>
  <c r="G118" i="10"/>
  <c r="N117" i="10"/>
  <c r="I117" i="10"/>
  <c r="J117" i="10" s="1"/>
  <c r="H117" i="10"/>
  <c r="G117" i="10"/>
  <c r="N116" i="10"/>
  <c r="J116" i="10"/>
  <c r="I116" i="10"/>
  <c r="H116" i="10"/>
  <c r="G116" i="10"/>
  <c r="N115" i="10"/>
  <c r="I115" i="10"/>
  <c r="J115" i="10" s="1"/>
  <c r="H115" i="10"/>
  <c r="G115" i="10"/>
  <c r="N114" i="10"/>
  <c r="J114" i="10"/>
  <c r="I114" i="10"/>
  <c r="H114" i="10"/>
  <c r="G114" i="10"/>
  <c r="N113" i="10"/>
  <c r="I113" i="10"/>
  <c r="J113" i="10" s="1"/>
  <c r="H113" i="10"/>
  <c r="G113" i="10"/>
  <c r="N112" i="10"/>
  <c r="I112" i="10"/>
  <c r="J112" i="10" s="1"/>
  <c r="H112" i="10"/>
  <c r="G112" i="10"/>
  <c r="N111" i="10"/>
  <c r="I111" i="10"/>
  <c r="J111" i="10" s="1"/>
  <c r="H111" i="10"/>
  <c r="G111" i="10"/>
  <c r="N110" i="10"/>
  <c r="I110" i="10"/>
  <c r="J110" i="10" s="1"/>
  <c r="H110" i="10"/>
  <c r="G110" i="10"/>
  <c r="N109" i="10"/>
  <c r="I109" i="10"/>
  <c r="J109" i="10" s="1"/>
  <c r="H109" i="10"/>
  <c r="G109" i="10"/>
  <c r="N108" i="10"/>
  <c r="J108" i="10"/>
  <c r="I108" i="10"/>
  <c r="H108" i="10"/>
  <c r="G108" i="10"/>
  <c r="N107" i="10"/>
  <c r="J107" i="10"/>
  <c r="I107" i="10"/>
  <c r="H107" i="10"/>
  <c r="G107" i="10"/>
  <c r="N106" i="10"/>
  <c r="J106" i="10"/>
  <c r="I106" i="10"/>
  <c r="H106" i="10"/>
  <c r="G106" i="10"/>
  <c r="N105" i="10"/>
  <c r="I105" i="10"/>
  <c r="J105" i="10" s="1"/>
  <c r="H105" i="10"/>
  <c r="G105" i="10"/>
  <c r="N104" i="10"/>
  <c r="J104" i="10"/>
  <c r="I104" i="10"/>
  <c r="H104" i="10"/>
  <c r="G104" i="10"/>
  <c r="N103" i="10"/>
  <c r="I103" i="10"/>
  <c r="J103" i="10" s="1"/>
  <c r="H103" i="10"/>
  <c r="G103" i="10"/>
  <c r="N102" i="10"/>
  <c r="I102" i="10"/>
  <c r="J102" i="10" s="1"/>
  <c r="H102" i="10"/>
  <c r="G102" i="10"/>
  <c r="N101" i="10"/>
  <c r="I101" i="10"/>
  <c r="J101" i="10" s="1"/>
  <c r="H101" i="10"/>
  <c r="G101" i="10"/>
  <c r="N100" i="10"/>
  <c r="I100" i="10"/>
  <c r="J100" i="10" s="1"/>
  <c r="H100" i="10"/>
  <c r="G100" i="10"/>
  <c r="N99" i="10"/>
  <c r="I99" i="10"/>
  <c r="J99" i="10" s="1"/>
  <c r="H99" i="10"/>
  <c r="G99" i="10"/>
  <c r="N98" i="10"/>
  <c r="J98" i="10"/>
  <c r="I98" i="10"/>
  <c r="H98" i="10"/>
  <c r="G98" i="10"/>
  <c r="N97" i="10"/>
  <c r="I97" i="10"/>
  <c r="J97" i="10" s="1"/>
  <c r="H97" i="10"/>
  <c r="G97" i="10"/>
  <c r="N96" i="10"/>
  <c r="I96" i="10"/>
  <c r="J96" i="10" s="1"/>
  <c r="H96" i="10"/>
  <c r="G96" i="10"/>
  <c r="N95" i="10"/>
  <c r="I95" i="10"/>
  <c r="J95" i="10" s="1"/>
  <c r="H95" i="10"/>
  <c r="G95" i="10"/>
  <c r="N94" i="10"/>
  <c r="I94" i="10"/>
  <c r="J94" i="10" s="1"/>
  <c r="H94" i="10"/>
  <c r="G94" i="10"/>
  <c r="N93" i="10"/>
  <c r="I93" i="10"/>
  <c r="J93" i="10" s="1"/>
  <c r="H93" i="10"/>
  <c r="G93" i="10"/>
  <c r="N92" i="10"/>
  <c r="J92" i="10"/>
  <c r="I92" i="10"/>
  <c r="H92" i="10"/>
  <c r="G92" i="10"/>
  <c r="N91" i="10"/>
  <c r="J91" i="10"/>
  <c r="I91" i="10"/>
  <c r="H91" i="10"/>
  <c r="G91" i="10"/>
  <c r="N90" i="10"/>
  <c r="J90" i="10"/>
  <c r="I90" i="10"/>
  <c r="H90" i="10"/>
  <c r="G90" i="10"/>
  <c r="N89" i="10"/>
  <c r="I89" i="10"/>
  <c r="J89" i="10" s="1"/>
  <c r="H89" i="10"/>
  <c r="G89" i="10"/>
  <c r="N88" i="10"/>
  <c r="I88" i="10"/>
  <c r="J88" i="10" s="1"/>
  <c r="H88" i="10"/>
  <c r="G88" i="10"/>
  <c r="N87" i="10"/>
  <c r="I87" i="10"/>
  <c r="J87" i="10" s="1"/>
  <c r="H87" i="10"/>
  <c r="G87" i="10"/>
  <c r="N86" i="10"/>
  <c r="I86" i="10"/>
  <c r="J86" i="10" s="1"/>
  <c r="H86" i="10"/>
  <c r="G86" i="10"/>
  <c r="N85" i="10"/>
  <c r="I85" i="10"/>
  <c r="J85" i="10" s="1"/>
  <c r="H85" i="10"/>
  <c r="G85" i="10"/>
  <c r="N84" i="10"/>
  <c r="J84" i="10"/>
  <c r="I84" i="10"/>
  <c r="H84" i="10"/>
  <c r="G84" i="10"/>
  <c r="N83" i="10"/>
  <c r="I83" i="10"/>
  <c r="J83" i="10" s="1"/>
  <c r="H83" i="10"/>
  <c r="G83" i="10"/>
  <c r="N82" i="10"/>
  <c r="J82" i="10"/>
  <c r="I82" i="10"/>
  <c r="H82" i="10"/>
  <c r="G82" i="10"/>
  <c r="N81" i="10"/>
  <c r="I81" i="10"/>
  <c r="J81" i="10" s="1"/>
  <c r="H81" i="10"/>
  <c r="G81" i="10"/>
  <c r="N80" i="10"/>
  <c r="I80" i="10"/>
  <c r="J80" i="10" s="1"/>
  <c r="H80" i="10"/>
  <c r="G80" i="10"/>
  <c r="N79" i="10"/>
  <c r="I79" i="10"/>
  <c r="J79" i="10" s="1"/>
  <c r="H79" i="10"/>
  <c r="G79" i="10"/>
  <c r="N78" i="10"/>
  <c r="I78" i="10"/>
  <c r="J78" i="10" s="1"/>
  <c r="H78" i="10"/>
  <c r="G78" i="10"/>
  <c r="N77" i="10"/>
  <c r="I77" i="10"/>
  <c r="J77" i="10" s="1"/>
  <c r="H77" i="10"/>
  <c r="G77" i="10"/>
  <c r="N76" i="10"/>
  <c r="J76" i="10"/>
  <c r="I76" i="10"/>
  <c r="H76" i="10"/>
  <c r="G76" i="10"/>
  <c r="N75" i="10"/>
  <c r="J75" i="10"/>
  <c r="I75" i="10"/>
  <c r="H75" i="10"/>
  <c r="G75" i="10"/>
  <c r="N74" i="10"/>
  <c r="J74" i="10"/>
  <c r="I74" i="10"/>
  <c r="H74" i="10"/>
  <c r="G74" i="10"/>
  <c r="N73" i="10"/>
  <c r="I73" i="10"/>
  <c r="J73" i="10" s="1"/>
  <c r="H73" i="10"/>
  <c r="G73" i="10"/>
  <c r="N72" i="10"/>
  <c r="J72" i="10"/>
  <c r="I72" i="10"/>
  <c r="H72" i="10"/>
  <c r="G72" i="10"/>
  <c r="N71" i="10"/>
  <c r="I71" i="10"/>
  <c r="J71" i="10" s="1"/>
  <c r="H71" i="10"/>
  <c r="G71" i="10"/>
  <c r="N70" i="10"/>
  <c r="I70" i="10"/>
  <c r="J70" i="10" s="1"/>
  <c r="H70" i="10"/>
  <c r="G70" i="10"/>
  <c r="N69" i="10"/>
  <c r="I69" i="10"/>
  <c r="J69" i="10" s="1"/>
  <c r="H69" i="10"/>
  <c r="G69" i="10"/>
  <c r="N68" i="10"/>
  <c r="I68" i="10"/>
  <c r="J68" i="10" s="1"/>
  <c r="H68" i="10"/>
  <c r="G68" i="10"/>
  <c r="N67" i="10"/>
  <c r="I67" i="10"/>
  <c r="J67" i="10" s="1"/>
  <c r="H67" i="10"/>
  <c r="G67" i="10"/>
  <c r="N66" i="10"/>
  <c r="J66" i="10"/>
  <c r="I66" i="10"/>
  <c r="H66" i="10"/>
  <c r="G66" i="10"/>
  <c r="N65" i="10"/>
  <c r="I65" i="10"/>
  <c r="J65" i="10" s="1"/>
  <c r="H65" i="10"/>
  <c r="G65" i="10"/>
  <c r="N64" i="10"/>
  <c r="I64" i="10"/>
  <c r="J64" i="10" s="1"/>
  <c r="H64" i="10"/>
  <c r="G64" i="10"/>
  <c r="N63" i="10"/>
  <c r="I63" i="10"/>
  <c r="J63" i="10" s="1"/>
  <c r="H63" i="10"/>
  <c r="G63" i="10"/>
  <c r="N62" i="10"/>
  <c r="I62" i="10"/>
  <c r="J62" i="10" s="1"/>
  <c r="H62" i="10"/>
  <c r="G62" i="10"/>
  <c r="N61" i="10"/>
  <c r="I61" i="10"/>
  <c r="J61" i="10" s="1"/>
  <c r="H61" i="10"/>
  <c r="G61" i="10"/>
  <c r="N60" i="10"/>
  <c r="I60" i="10"/>
  <c r="J60" i="10" s="1"/>
  <c r="H60" i="10"/>
  <c r="G60" i="10"/>
  <c r="N59" i="10"/>
  <c r="I59" i="10"/>
  <c r="J59" i="10" s="1"/>
  <c r="H59" i="10"/>
  <c r="G59" i="10"/>
  <c r="N58" i="10"/>
  <c r="J58" i="10"/>
  <c r="I58" i="10"/>
  <c r="H58" i="10"/>
  <c r="G58" i="10"/>
  <c r="N57" i="10"/>
  <c r="I57" i="10"/>
  <c r="J57" i="10" s="1"/>
  <c r="H57" i="10"/>
  <c r="G57" i="10"/>
  <c r="N56" i="10"/>
  <c r="I56" i="10"/>
  <c r="J56" i="10" s="1"/>
  <c r="H56" i="10"/>
  <c r="G56" i="10"/>
  <c r="N55" i="10"/>
  <c r="I55" i="10"/>
  <c r="J55" i="10" s="1"/>
  <c r="H55" i="10"/>
  <c r="G55" i="10"/>
  <c r="N54" i="10"/>
  <c r="I54" i="10"/>
  <c r="J54" i="10" s="1"/>
  <c r="H54" i="10"/>
  <c r="G54" i="10"/>
  <c r="N53" i="10"/>
  <c r="I53" i="10"/>
  <c r="J53" i="10" s="1"/>
  <c r="H53" i="10"/>
  <c r="G53" i="10"/>
  <c r="N52" i="10"/>
  <c r="J52" i="10"/>
  <c r="I52" i="10"/>
  <c r="H52" i="10"/>
  <c r="G52" i="10"/>
  <c r="N51" i="10"/>
  <c r="I51" i="10"/>
  <c r="J51" i="10" s="1"/>
  <c r="H51" i="10"/>
  <c r="G51" i="10"/>
  <c r="N50" i="10"/>
  <c r="I50" i="10"/>
  <c r="J50" i="10" s="1"/>
  <c r="H50" i="10"/>
  <c r="G50" i="10"/>
  <c r="N49" i="10"/>
  <c r="I49" i="10"/>
  <c r="J49" i="10" s="1"/>
  <c r="H49" i="10"/>
  <c r="G49" i="10"/>
  <c r="N48" i="10"/>
  <c r="I48" i="10"/>
  <c r="J48" i="10" s="1"/>
  <c r="H48" i="10"/>
  <c r="G48" i="10"/>
  <c r="N47" i="10"/>
  <c r="I47" i="10"/>
  <c r="J47" i="10" s="1"/>
  <c r="H47" i="10"/>
  <c r="G47" i="10"/>
  <c r="N46" i="10"/>
  <c r="I46" i="10"/>
  <c r="J46" i="10" s="1"/>
  <c r="H46" i="10"/>
  <c r="G46" i="10"/>
  <c r="N45" i="10"/>
  <c r="I45" i="10"/>
  <c r="J45" i="10" s="1"/>
  <c r="H45" i="10"/>
  <c r="G45" i="10"/>
  <c r="N44" i="10"/>
  <c r="I44" i="10"/>
  <c r="J44" i="10" s="1"/>
  <c r="H44" i="10"/>
  <c r="G44" i="10"/>
  <c r="N43" i="10"/>
  <c r="I43" i="10"/>
  <c r="J43" i="10" s="1"/>
  <c r="H43" i="10"/>
  <c r="G43" i="10"/>
  <c r="N42" i="10"/>
  <c r="J42" i="10"/>
  <c r="I42" i="10"/>
  <c r="H42" i="10"/>
  <c r="G42" i="10"/>
  <c r="P41" i="10"/>
  <c r="I41" i="10"/>
  <c r="J41" i="10" s="1"/>
  <c r="H41" i="10"/>
  <c r="G41" i="10"/>
  <c r="N40" i="10"/>
  <c r="J40" i="10"/>
  <c r="I40" i="10"/>
  <c r="H40" i="10"/>
  <c r="G40" i="10"/>
  <c r="N39" i="10"/>
  <c r="I39" i="10"/>
  <c r="J39" i="10" s="1"/>
  <c r="H39" i="10"/>
  <c r="G39" i="10"/>
  <c r="N38" i="10"/>
  <c r="I38" i="10"/>
  <c r="J38" i="10" s="1"/>
  <c r="H38" i="10"/>
  <c r="G38" i="10"/>
  <c r="N37" i="10"/>
  <c r="I37" i="10"/>
  <c r="J37" i="10" s="1"/>
  <c r="H37" i="10"/>
  <c r="G37" i="10"/>
  <c r="N36" i="10"/>
  <c r="J36" i="10"/>
  <c r="I36" i="10"/>
  <c r="H36" i="10"/>
  <c r="G36" i="10"/>
  <c r="P35" i="10"/>
  <c r="I35" i="10"/>
  <c r="J35" i="10" s="1"/>
  <c r="H35" i="10"/>
  <c r="G35" i="10"/>
  <c r="P34" i="10"/>
  <c r="I34" i="10"/>
  <c r="J34" i="10" s="1"/>
  <c r="H34" i="10"/>
  <c r="G34" i="10"/>
  <c r="P33" i="10"/>
  <c r="N33" i="10"/>
  <c r="J33" i="10"/>
  <c r="I33" i="10"/>
  <c r="H33" i="10"/>
  <c r="G33" i="10"/>
  <c r="P32" i="10"/>
  <c r="I32" i="10"/>
  <c r="J32" i="10" s="1"/>
  <c r="H32" i="10"/>
  <c r="G32" i="10"/>
  <c r="P31" i="10"/>
  <c r="N31" i="10"/>
  <c r="I31" i="10"/>
  <c r="J31" i="10" s="1"/>
  <c r="H31" i="10"/>
  <c r="G31" i="10"/>
  <c r="P30" i="10"/>
  <c r="N30" i="10"/>
  <c r="I30" i="10"/>
  <c r="J30" i="10" s="1"/>
  <c r="H30" i="10"/>
  <c r="G30" i="10"/>
  <c r="P29" i="10"/>
  <c r="I29" i="10"/>
  <c r="J29" i="10" s="1"/>
  <c r="H29" i="10"/>
  <c r="G29" i="10"/>
  <c r="P28" i="10"/>
  <c r="I28" i="10"/>
  <c r="J28" i="10" s="1"/>
  <c r="H28" i="10"/>
  <c r="G28" i="10"/>
  <c r="P27" i="10"/>
  <c r="J27" i="10"/>
  <c r="I27" i="10"/>
  <c r="H27" i="10"/>
  <c r="G27" i="10"/>
  <c r="I26" i="10"/>
  <c r="J26" i="10" s="1"/>
  <c r="H26" i="10"/>
  <c r="G26" i="10"/>
  <c r="N25" i="10"/>
  <c r="I25" i="10"/>
  <c r="J25" i="10" s="1"/>
  <c r="H25" i="10"/>
  <c r="G25" i="10"/>
  <c r="N24" i="10"/>
  <c r="J24" i="10"/>
  <c r="I24" i="10"/>
  <c r="H24" i="10"/>
  <c r="G24" i="10"/>
  <c r="N23" i="10"/>
  <c r="I23" i="10"/>
  <c r="J23" i="10" s="1"/>
  <c r="H23" i="10"/>
  <c r="G23" i="10"/>
  <c r="N22" i="10"/>
  <c r="J22" i="10"/>
  <c r="I22" i="10"/>
  <c r="H22" i="10"/>
  <c r="G22" i="10"/>
  <c r="N21" i="10"/>
  <c r="I21" i="10"/>
  <c r="J21" i="10" s="1"/>
  <c r="H21" i="10"/>
  <c r="G21" i="10"/>
  <c r="N20" i="10"/>
  <c r="J20" i="10"/>
  <c r="I20" i="10"/>
  <c r="H20" i="10"/>
  <c r="G20" i="10"/>
  <c r="N19" i="10"/>
  <c r="I19" i="10"/>
  <c r="J19" i="10" s="1"/>
  <c r="H19" i="10"/>
  <c r="G19" i="10"/>
  <c r="N18" i="10"/>
  <c r="J18" i="10"/>
  <c r="I18" i="10"/>
  <c r="H18" i="10"/>
  <c r="G18" i="10"/>
  <c r="N17" i="10"/>
  <c r="I17" i="10"/>
  <c r="J17" i="10" s="1"/>
  <c r="H17" i="10"/>
  <c r="G17" i="10"/>
  <c r="N16" i="10"/>
  <c r="I16" i="10"/>
  <c r="J16" i="10" s="1"/>
  <c r="H16" i="10"/>
  <c r="G16" i="10"/>
  <c r="N15" i="10"/>
  <c r="I15" i="10"/>
  <c r="J15" i="10" s="1"/>
  <c r="H15" i="10"/>
  <c r="G15" i="10"/>
  <c r="N14" i="10"/>
  <c r="I14" i="10"/>
  <c r="J14" i="10" s="1"/>
  <c r="H14" i="10"/>
  <c r="G14" i="10"/>
  <c r="N13" i="10"/>
  <c r="I13" i="10"/>
  <c r="J13" i="10" s="1"/>
  <c r="H13" i="10"/>
  <c r="G13" i="10"/>
  <c r="N12" i="10"/>
  <c r="I12" i="10"/>
  <c r="J12" i="10" s="1"/>
  <c r="H12" i="10"/>
  <c r="G12" i="10"/>
  <c r="N11" i="10"/>
  <c r="I11" i="10"/>
  <c r="J11" i="10" s="1"/>
  <c r="H11" i="10"/>
  <c r="G11" i="10"/>
  <c r="N10" i="10"/>
  <c r="I10" i="10"/>
  <c r="J10" i="10" s="1"/>
  <c r="H10" i="10"/>
  <c r="G10" i="10"/>
  <c r="N9" i="10"/>
  <c r="I9" i="10"/>
  <c r="J9" i="10" s="1"/>
  <c r="H9" i="10"/>
  <c r="G9" i="10"/>
  <c r="N8" i="10"/>
  <c r="I8" i="10"/>
  <c r="J8" i="10" s="1"/>
  <c r="H8" i="10"/>
  <c r="G8" i="10"/>
  <c r="N7" i="10"/>
  <c r="I7" i="10"/>
  <c r="J7" i="10" s="1"/>
  <c r="H7" i="10"/>
  <c r="G7" i="10"/>
  <c r="N6" i="10"/>
  <c r="I6" i="10"/>
  <c r="J6" i="10" s="1"/>
  <c r="H6" i="10"/>
  <c r="G6" i="10"/>
  <c r="I5" i="10"/>
  <c r="J5" i="10" s="1"/>
  <c r="H5" i="10"/>
  <c r="G5" i="10"/>
  <c r="N4" i="10"/>
  <c r="I4" i="10"/>
  <c r="J4" i="10" s="1"/>
  <c r="H4" i="10"/>
  <c r="G4" i="10"/>
  <c r="N3" i="10"/>
  <c r="I3" i="10"/>
  <c r="J3" i="10" s="1"/>
  <c r="H3" i="10"/>
  <c r="G3" i="10"/>
  <c r="N2" i="10"/>
  <c r="I2" i="10"/>
  <c r="J2" i="10" s="1"/>
  <c r="H2" i="10"/>
  <c r="G2" i="10"/>
  <c r="F5" i="3" l="1"/>
  <c r="G5" i="3"/>
  <c r="F6" i="3" s="1"/>
  <c r="G4" i="4"/>
  <c r="F4" i="4"/>
  <c r="G6" i="3" l="1"/>
  <c r="F7" i="3" s="1"/>
  <c r="G5" i="4"/>
  <c r="F5" i="4"/>
  <c r="G57" i="1"/>
  <c r="F58" i="1" s="1"/>
  <c r="G4" i="1"/>
  <c r="G5" i="1" s="1"/>
  <c r="G7" i="3" l="1"/>
  <c r="F8" i="3" s="1"/>
  <c r="G6" i="4"/>
  <c r="F6" i="4"/>
  <c r="G6" i="1"/>
  <c r="F6" i="1"/>
  <c r="G58" i="1"/>
  <c r="F5" i="1"/>
  <c r="G59" i="1" l="1"/>
  <c r="F59" i="1"/>
  <c r="G8" i="3"/>
  <c r="F9" i="3" s="1"/>
  <c r="F7" i="4"/>
  <c r="G7" i="4"/>
  <c r="G7" i="1"/>
  <c r="F7" i="1"/>
  <c r="F60" i="1" l="1"/>
  <c r="G60" i="1"/>
  <c r="G9" i="3"/>
  <c r="F10" i="3" s="1"/>
  <c r="G8" i="4"/>
  <c r="F8" i="4"/>
  <c r="G8" i="1"/>
  <c r="F8" i="1"/>
  <c r="G61" i="1" l="1"/>
  <c r="F61" i="1"/>
  <c r="G10" i="3"/>
  <c r="G9" i="4"/>
  <c r="F9" i="4"/>
  <c r="G9" i="1"/>
  <c r="F9" i="1"/>
  <c r="F62" i="1" l="1"/>
  <c r="G62" i="1"/>
  <c r="F11" i="3"/>
  <c r="G11" i="3"/>
  <c r="G10" i="4"/>
  <c r="F10" i="4"/>
  <c r="G10" i="1"/>
  <c r="F10" i="1"/>
  <c r="F63" i="1" l="1"/>
  <c r="G63" i="1"/>
  <c r="G11" i="4"/>
  <c r="F11" i="4"/>
  <c r="G12" i="3"/>
  <c r="F12" i="3"/>
  <c r="F11" i="1"/>
  <c r="G11" i="1"/>
  <c r="F64" i="1" l="1"/>
  <c r="G64" i="1"/>
  <c r="G12" i="4"/>
  <c r="F12" i="4"/>
  <c r="F13" i="3"/>
  <c r="G13" i="3"/>
  <c r="F12" i="1"/>
  <c r="G12" i="1"/>
  <c r="G65" i="1" l="1"/>
  <c r="F65" i="1"/>
  <c r="G13" i="1"/>
  <c r="F13" i="1"/>
  <c r="F13" i="4"/>
  <c r="G13" i="4"/>
  <c r="G14" i="3"/>
  <c r="F14" i="3"/>
  <c r="G66" i="1" l="1"/>
  <c r="F66" i="1"/>
  <c r="G14" i="1"/>
  <c r="F14" i="1"/>
  <c r="F14" i="4"/>
  <c r="G14" i="4"/>
  <c r="G15" i="3"/>
  <c r="F15" i="3"/>
  <c r="G67" i="1" l="1"/>
  <c r="F67" i="1"/>
  <c r="F15" i="1"/>
  <c r="G15" i="1"/>
  <c r="F15" i="4"/>
  <c r="G15" i="4"/>
  <c r="G16" i="3"/>
  <c r="F16" i="3"/>
  <c r="G68" i="1" l="1"/>
  <c r="F68" i="1"/>
  <c r="G16" i="1"/>
  <c r="F16" i="1"/>
  <c r="F16" i="4"/>
  <c r="G16" i="4"/>
  <c r="G17" i="3"/>
  <c r="F17" i="3"/>
  <c r="G69" i="1" l="1"/>
  <c r="F69" i="1"/>
  <c r="G17" i="1"/>
  <c r="F17" i="1"/>
  <c r="F17" i="4"/>
  <c r="G17" i="4"/>
  <c r="G18" i="3"/>
  <c r="F18" i="3"/>
  <c r="G70" i="1" l="1"/>
  <c r="F70" i="1"/>
  <c r="G18" i="1"/>
  <c r="F18" i="1"/>
  <c r="F18" i="4"/>
  <c r="G18" i="4"/>
  <c r="G19" i="3"/>
  <c r="F19" i="3"/>
  <c r="G71" i="1" l="1"/>
  <c r="F71" i="1"/>
  <c r="G19" i="1"/>
  <c r="F19" i="1"/>
  <c r="F19" i="4"/>
  <c r="G19" i="4"/>
  <c r="G20" i="3"/>
  <c r="F20" i="3"/>
  <c r="G72" i="1" l="1"/>
  <c r="F72" i="1"/>
  <c r="G20" i="1"/>
  <c r="F20" i="1"/>
  <c r="F20" i="4"/>
  <c r="G20" i="4"/>
  <c r="G21" i="3"/>
  <c r="F21" i="3"/>
  <c r="F73" i="1" l="1"/>
  <c r="G73" i="1"/>
  <c r="G21" i="1"/>
  <c r="F21" i="1"/>
  <c r="G21" i="4"/>
  <c r="F21" i="4"/>
  <c r="G22" i="3"/>
  <c r="F22" i="3"/>
  <c r="G74" i="1" l="1"/>
  <c r="F74" i="1"/>
  <c r="F22" i="1"/>
  <c r="G22" i="1"/>
  <c r="F22" i="4"/>
  <c r="G22" i="4"/>
  <c r="G23" i="3"/>
  <c r="F23" i="3"/>
  <c r="F75" i="1" l="1"/>
  <c r="G75" i="1"/>
  <c r="F23" i="1"/>
  <c r="G23" i="1"/>
  <c r="G23" i="4"/>
  <c r="F23" i="4"/>
  <c r="G24" i="3"/>
  <c r="F24" i="3"/>
  <c r="F76" i="1" l="1"/>
  <c r="G76" i="1"/>
  <c r="F24" i="1"/>
  <c r="G24" i="1"/>
  <c r="G24" i="4"/>
  <c r="F24" i="4"/>
  <c r="G25" i="3"/>
  <c r="F25" i="3"/>
  <c r="F77" i="1" l="1"/>
  <c r="G77" i="1"/>
  <c r="F25" i="1"/>
  <c r="G25" i="1"/>
  <c r="F25" i="4"/>
  <c r="G25" i="4"/>
  <c r="G26" i="3"/>
  <c r="F26" i="3"/>
  <c r="F78" i="1" l="1"/>
  <c r="G78" i="1"/>
  <c r="F26" i="1"/>
  <c r="G26" i="1"/>
  <c r="F26" i="4"/>
  <c r="G26" i="4"/>
  <c r="G27" i="3"/>
  <c r="F27" i="3"/>
  <c r="F79" i="1" l="1"/>
  <c r="G79" i="1"/>
  <c r="F27" i="1"/>
  <c r="G27" i="1"/>
  <c r="G27" i="4"/>
  <c r="F27" i="4"/>
  <c r="G28" i="3"/>
  <c r="F28" i="3"/>
  <c r="F80" i="1" l="1"/>
  <c r="G80" i="1"/>
  <c r="F28" i="1"/>
  <c r="G28" i="1"/>
  <c r="G28" i="4"/>
  <c r="F28" i="4"/>
  <c r="G29" i="3"/>
  <c r="F29" i="3"/>
  <c r="G81" i="1" l="1"/>
  <c r="F81" i="1"/>
  <c r="F29" i="1"/>
  <c r="G29" i="1"/>
  <c r="F29" i="4"/>
  <c r="G29" i="4"/>
  <c r="G30" i="3"/>
  <c r="F30" i="3"/>
  <c r="F82" i="1" l="1"/>
  <c r="G82" i="1"/>
  <c r="F30" i="1"/>
  <c r="G30" i="1"/>
  <c r="F30" i="4"/>
  <c r="G30" i="4"/>
  <c r="G31" i="3"/>
  <c r="F31" i="3"/>
  <c r="F83" i="1" l="1"/>
  <c r="G83" i="1"/>
  <c r="F31" i="1"/>
  <c r="G31" i="1"/>
  <c r="F31" i="4"/>
  <c r="G31" i="4"/>
  <c r="G32" i="3"/>
  <c r="F32" i="3"/>
  <c r="F84" i="1" l="1"/>
  <c r="G84" i="1"/>
  <c r="F32" i="1"/>
  <c r="G32" i="1"/>
  <c r="F32" i="4"/>
  <c r="G32" i="4"/>
  <c r="G33" i="3"/>
  <c r="F33" i="3"/>
  <c r="G85" i="1" l="1"/>
  <c r="F85" i="1"/>
  <c r="F33" i="1"/>
  <c r="G33" i="1"/>
  <c r="G33" i="4"/>
  <c r="F33" i="4"/>
  <c r="G34" i="3"/>
  <c r="F34" i="3"/>
  <c r="G86" i="1" l="1"/>
  <c r="F86" i="1"/>
  <c r="F34" i="1"/>
  <c r="G34" i="1"/>
  <c r="G34" i="4"/>
  <c r="F34" i="4"/>
  <c r="G35" i="3"/>
  <c r="F35" i="3"/>
  <c r="G87" i="1" l="1"/>
  <c r="F87" i="1"/>
  <c r="F35" i="1"/>
  <c r="G35" i="1"/>
  <c r="F35" i="4"/>
  <c r="G35" i="4"/>
  <c r="G36" i="3"/>
  <c r="F36" i="3"/>
  <c r="G88" i="1" l="1"/>
  <c r="F88" i="1"/>
  <c r="F36" i="1"/>
  <c r="G36" i="1"/>
  <c r="F36" i="4"/>
  <c r="G36" i="4"/>
  <c r="G37" i="3"/>
  <c r="F37" i="3"/>
  <c r="G89" i="1" l="1"/>
  <c r="F89" i="1"/>
  <c r="G37" i="1"/>
  <c r="F37" i="1"/>
  <c r="F37" i="4"/>
  <c r="G37" i="4"/>
  <c r="G38" i="3"/>
  <c r="F38" i="3"/>
  <c r="G90" i="1" l="1"/>
  <c r="F90" i="1"/>
  <c r="G38" i="1"/>
  <c r="F38" i="1"/>
  <c r="G38" i="4"/>
  <c r="F38" i="4"/>
  <c r="G39" i="3"/>
  <c r="F39" i="3"/>
  <c r="G91" i="1" l="1"/>
  <c r="F91" i="1"/>
  <c r="G39" i="1"/>
  <c r="F39" i="1"/>
  <c r="G39" i="4"/>
  <c r="F39" i="4"/>
  <c r="G40" i="3"/>
  <c r="F40" i="3"/>
  <c r="F92" i="1" l="1"/>
  <c r="G92" i="1"/>
  <c r="G40" i="1"/>
  <c r="F40" i="1"/>
  <c r="G40" i="4"/>
  <c r="F40" i="4"/>
  <c r="G41" i="3"/>
  <c r="F41" i="3"/>
  <c r="G93" i="1" l="1"/>
  <c r="F93" i="1"/>
  <c r="G41" i="1"/>
  <c r="F41" i="1"/>
  <c r="G41" i="4"/>
  <c r="F41" i="4"/>
  <c r="G42" i="3"/>
  <c r="F42" i="3"/>
  <c r="G94" i="1" l="1"/>
  <c r="F94" i="1"/>
  <c r="F42" i="1"/>
  <c r="G42" i="1"/>
  <c r="F42" i="4"/>
  <c r="G42" i="4"/>
  <c r="G43" i="3"/>
  <c r="F43" i="3"/>
  <c r="F95" i="1" l="1"/>
  <c r="G95" i="1"/>
  <c r="F43" i="1"/>
  <c r="G43" i="1"/>
  <c r="G43" i="4"/>
  <c r="F43" i="4"/>
  <c r="G44" i="3"/>
  <c r="F44" i="3"/>
  <c r="F96" i="1" l="1"/>
  <c r="G96" i="1"/>
  <c r="G44" i="4"/>
  <c r="F44" i="4"/>
  <c r="G45" i="3"/>
  <c r="F45" i="3"/>
  <c r="F97" i="1" l="1"/>
  <c r="G97" i="1"/>
  <c r="F46" i="3"/>
  <c r="G46" i="3"/>
  <c r="G45" i="4"/>
  <c r="F45" i="4"/>
  <c r="F98" i="1" l="1"/>
  <c r="G98" i="1"/>
  <c r="G47" i="3"/>
  <c r="F47" i="3"/>
  <c r="G46" i="4"/>
  <c r="F46" i="4"/>
  <c r="F99" i="1" l="1"/>
  <c r="G99" i="1"/>
  <c r="F48" i="3"/>
  <c r="G48" i="3"/>
  <c r="G47" i="4"/>
  <c r="F47" i="4"/>
  <c r="G100" i="1" l="1"/>
  <c r="F100" i="1"/>
  <c r="G48" i="4"/>
  <c r="F48" i="4"/>
  <c r="F101" i="1" l="1"/>
  <c r="G101" i="1"/>
  <c r="G49" i="4"/>
  <c r="F49" i="4"/>
  <c r="G102" i="1" l="1"/>
  <c r="F102" i="1"/>
  <c r="F50" i="4"/>
  <c r="G50" i="4"/>
  <c r="G103" i="1" l="1"/>
  <c r="F103" i="1"/>
  <c r="G51" i="4"/>
  <c r="F51" i="4"/>
  <c r="G104" i="1" l="1"/>
  <c r="F104" i="1"/>
  <c r="G52" i="4"/>
  <c r="F52" i="4"/>
  <c r="G105" i="1" l="1"/>
  <c r="F105" i="1"/>
  <c r="G53" i="4"/>
  <c r="F53" i="4"/>
  <c r="G106" i="1" l="1"/>
  <c r="F106" i="1"/>
  <c r="F54" i="4"/>
  <c r="G54" i="4"/>
  <c r="G107" i="1" l="1"/>
  <c r="F107" i="1"/>
  <c r="F55" i="4"/>
  <c r="G55" i="4"/>
  <c r="G108" i="1" l="1"/>
  <c r="F108" i="1"/>
  <c r="F56" i="4"/>
  <c r="G56" i="4"/>
  <c r="G109" i="1" l="1"/>
  <c r="F109" i="1"/>
  <c r="G57" i="4"/>
  <c r="F57" i="4"/>
  <c r="F110" i="1" l="1"/>
  <c r="G110" i="1"/>
  <c r="F58" i="4"/>
  <c r="G58" i="4"/>
  <c r="F111" i="1" l="1"/>
  <c r="G111" i="1"/>
  <c r="G59" i="4"/>
  <c r="F59" i="4"/>
  <c r="F112" i="1" l="1"/>
  <c r="G112" i="1"/>
  <c r="G60" i="4"/>
  <c r="F60" i="4"/>
  <c r="F113" i="1" l="1"/>
  <c r="G113" i="1"/>
  <c r="G61" i="4"/>
  <c r="F61" i="4"/>
  <c r="F114" i="1" l="1"/>
  <c r="G114" i="1"/>
  <c r="F62" i="4"/>
  <c r="G62" i="4"/>
  <c r="F115" i="1" l="1"/>
  <c r="G115" i="1"/>
  <c r="F63" i="4"/>
  <c r="G63" i="4"/>
  <c r="F116" i="1" l="1"/>
  <c r="G116" i="1"/>
  <c r="F64" i="4"/>
  <c r="G64" i="4"/>
  <c r="F117" i="1" l="1"/>
  <c r="G117" i="1"/>
  <c r="G65" i="4"/>
  <c r="F65" i="4"/>
  <c r="F118" i="1" l="1"/>
  <c r="G118" i="1"/>
  <c r="G66" i="4"/>
  <c r="F66" i="4"/>
  <c r="F119" i="1" l="1"/>
  <c r="G119" i="1"/>
  <c r="G67" i="4"/>
  <c r="F67" i="4"/>
  <c r="F120" i="1" l="1"/>
  <c r="G120" i="1"/>
  <c r="G68" i="4"/>
  <c r="F68" i="4"/>
  <c r="G121" i="1" l="1"/>
  <c r="F121" i="1"/>
  <c r="G69" i="4"/>
  <c r="F69" i="4"/>
  <c r="G122" i="1" l="1"/>
  <c r="F122" i="1"/>
  <c r="G70" i="4"/>
  <c r="F70" i="4"/>
  <c r="G123" i="1" l="1"/>
  <c r="F123" i="1"/>
  <c r="G71" i="4"/>
  <c r="F71" i="4"/>
  <c r="G124" i="1" l="1"/>
  <c r="F124" i="1"/>
  <c r="F72" i="4"/>
  <c r="G72" i="4"/>
  <c r="G125" i="1" l="1"/>
  <c r="F125" i="1"/>
  <c r="F73" i="4"/>
  <c r="G73" i="4"/>
  <c r="G126" i="1" l="1"/>
  <c r="F126" i="1"/>
  <c r="F74" i="4"/>
  <c r="G74" i="4"/>
  <c r="G127" i="1" l="1"/>
  <c r="F127" i="1"/>
  <c r="G75" i="4"/>
  <c r="F75" i="4"/>
  <c r="G128" i="1" l="1"/>
  <c r="F128" i="1"/>
  <c r="G76" i="4"/>
  <c r="F76" i="4"/>
  <c r="G129" i="1" l="1"/>
  <c r="F129" i="1"/>
  <c r="G77" i="4"/>
  <c r="F77" i="4"/>
  <c r="G130" i="1" l="1"/>
  <c r="F130" i="1"/>
  <c r="F78" i="4"/>
  <c r="G78" i="4"/>
  <c r="G131" i="1" l="1"/>
  <c r="F131" i="1"/>
  <c r="F79" i="4"/>
  <c r="G79" i="4"/>
  <c r="G132" i="1" l="1"/>
  <c r="F132" i="1"/>
  <c r="G80" i="4"/>
  <c r="F80" i="4"/>
  <c r="G133" i="1" l="1"/>
  <c r="F133" i="1"/>
  <c r="G81" i="4"/>
  <c r="F81" i="4"/>
  <c r="F134" i="1" l="1"/>
  <c r="G134" i="1"/>
  <c r="G82" i="4"/>
  <c r="F82" i="4"/>
  <c r="F135" i="1" l="1"/>
  <c r="G135" i="1"/>
  <c r="G83" i="4"/>
  <c r="F83" i="4"/>
  <c r="F136" i="1" l="1"/>
  <c r="G136" i="1"/>
  <c r="F84" i="4"/>
  <c r="G84" i="4"/>
  <c r="G137" i="1" l="1"/>
  <c r="F137" i="1"/>
  <c r="F85" i="4"/>
  <c r="G85" i="4"/>
  <c r="F138" i="1" l="1"/>
  <c r="G138" i="1"/>
  <c r="F86" i="4"/>
  <c r="G86" i="4"/>
  <c r="F139" i="1" l="1"/>
  <c r="G139" i="1"/>
  <c r="G87" i="4"/>
  <c r="F87" i="4"/>
  <c r="F140" i="1" l="1"/>
  <c r="G140" i="1"/>
  <c r="F88" i="4"/>
  <c r="G88" i="4"/>
  <c r="F141" i="1" l="1"/>
  <c r="G141" i="1"/>
  <c r="G89" i="4"/>
  <c r="F89" i="4"/>
  <c r="F142" i="1" l="1"/>
  <c r="G142" i="1"/>
  <c r="F90" i="4"/>
  <c r="G90" i="4"/>
  <c r="G143" i="1" l="1"/>
  <c r="F143" i="1"/>
  <c r="G91" i="4"/>
  <c r="F91" i="4"/>
  <c r="G144" i="1" l="1"/>
  <c r="F144" i="1"/>
  <c r="G92" i="4"/>
  <c r="F92" i="4"/>
  <c r="G145" i="1" l="1"/>
  <c r="F145" i="1"/>
  <c r="F93" i="4"/>
  <c r="G93" i="4"/>
  <c r="G146" i="1" l="1"/>
  <c r="F146" i="1"/>
  <c r="G94" i="4"/>
  <c r="F94" i="4"/>
  <c r="G147" i="1" l="1"/>
  <c r="F147" i="1"/>
  <c r="G95" i="4"/>
  <c r="F95" i="4"/>
  <c r="F148" i="1" l="1"/>
  <c r="G148" i="1"/>
  <c r="G96" i="4"/>
  <c r="F96" i="4"/>
  <c r="G149" i="1" l="1"/>
  <c r="F149" i="1"/>
  <c r="G97" i="4"/>
  <c r="F97" i="4"/>
  <c r="G150" i="1" l="1"/>
  <c r="F150" i="1"/>
  <c r="F98" i="4"/>
  <c r="G98" i="4"/>
  <c r="G151" i="1" l="1"/>
  <c r="F151" i="1"/>
  <c r="F99" i="4"/>
  <c r="G99" i="4"/>
  <c r="G152" i="1" l="1"/>
  <c r="F152" i="1"/>
  <c r="F100" i="4"/>
  <c r="G100" i="4"/>
  <c r="G153" i="1" l="1"/>
  <c r="F153" i="1"/>
  <c r="G101" i="4"/>
  <c r="F101" i="4"/>
  <c r="G154" i="1" l="1"/>
  <c r="F154" i="1"/>
  <c r="G102" i="4"/>
  <c r="F102" i="4"/>
  <c r="F155" i="1" l="1"/>
  <c r="G155" i="1"/>
  <c r="F103" i="4"/>
  <c r="G103" i="4"/>
  <c r="F156" i="1" l="1"/>
  <c r="G156" i="1"/>
  <c r="G104" i="4"/>
  <c r="F104" i="4"/>
  <c r="F157" i="1" l="1"/>
  <c r="G157" i="1"/>
  <c r="G105" i="4"/>
  <c r="F105" i="4"/>
  <c r="F158" i="1" l="1"/>
  <c r="G158" i="1"/>
  <c r="F106" i="4"/>
  <c r="G106" i="4"/>
  <c r="F159" i="1" l="1"/>
  <c r="G159" i="1"/>
  <c r="G107" i="4"/>
  <c r="F107" i="4"/>
  <c r="G160" i="1" l="1"/>
  <c r="F160" i="1"/>
  <c r="G108" i="4"/>
  <c r="F108" i="4"/>
  <c r="G161" i="1" l="1"/>
  <c r="F161" i="1"/>
  <c r="G109" i="4"/>
  <c r="F109" i="4"/>
  <c r="F162" i="1" l="1"/>
  <c r="G162" i="1"/>
  <c r="G110" i="4"/>
  <c r="F110" i="4"/>
  <c r="G163" i="1" l="1"/>
  <c r="F163" i="1"/>
  <c r="G111" i="4"/>
  <c r="F111" i="4"/>
  <c r="F164" i="1" l="1"/>
  <c r="G164" i="1"/>
  <c r="F112" i="4"/>
  <c r="G112" i="4"/>
  <c r="G165" i="1" l="1"/>
  <c r="F165" i="1"/>
  <c r="G113" i="4"/>
  <c r="F113" i="4"/>
  <c r="G166" i="1" l="1"/>
  <c r="F166" i="1"/>
  <c r="G114" i="4"/>
  <c r="F114" i="4"/>
  <c r="G167" i="1" l="1"/>
  <c r="F167" i="1"/>
  <c r="G115" i="4"/>
  <c r="F115" i="4"/>
  <c r="G168" i="1" l="1"/>
  <c r="F168" i="1"/>
  <c r="G116" i="4"/>
  <c r="F116" i="4"/>
  <c r="G169" i="1" l="1"/>
  <c r="F169" i="1"/>
  <c r="G117" i="4"/>
  <c r="F117" i="4"/>
  <c r="G170" i="1" l="1"/>
  <c r="F170" i="1"/>
  <c r="G118" i="4"/>
  <c r="F118" i="4"/>
  <c r="F171" i="1" l="1"/>
  <c r="G171" i="1"/>
  <c r="G119" i="4"/>
  <c r="F119" i="4"/>
  <c r="F172" i="1" l="1"/>
  <c r="G172" i="1"/>
  <c r="F120" i="4"/>
  <c r="G120" i="4"/>
  <c r="F173" i="1" l="1"/>
  <c r="G173" i="1"/>
  <c r="F121" i="4"/>
  <c r="G121" i="4"/>
  <c r="G174" i="1" l="1"/>
  <c r="F174" i="1"/>
  <c r="F122" i="4"/>
  <c r="G122" i="4"/>
  <c r="F175" i="1" l="1"/>
  <c r="G175" i="1"/>
  <c r="G123" i="4"/>
  <c r="F123" i="4"/>
  <c r="F176" i="1" l="1"/>
  <c r="G176" i="1"/>
  <c r="F124" i="4"/>
  <c r="G124" i="4"/>
  <c r="F177" i="1" l="1"/>
  <c r="G177" i="1"/>
  <c r="G125" i="4"/>
  <c r="F125" i="4"/>
  <c r="F178" i="1" l="1"/>
  <c r="G178" i="1"/>
  <c r="F126" i="4"/>
  <c r="G126" i="4"/>
  <c r="F179" i="1" l="1"/>
  <c r="G179" i="1"/>
  <c r="G127" i="4"/>
  <c r="F127" i="4"/>
  <c r="G180" i="1" l="1"/>
  <c r="F180" i="1"/>
  <c r="G128" i="4"/>
  <c r="F128" i="4"/>
  <c r="G181" i="1" l="1"/>
  <c r="F181" i="1"/>
  <c r="F129" i="4"/>
  <c r="G129" i="4"/>
  <c r="G182" i="1" l="1"/>
  <c r="F182" i="1"/>
  <c r="F130" i="4"/>
  <c r="G130" i="4"/>
  <c r="G183" i="1" l="1"/>
  <c r="F183" i="1"/>
  <c r="F131" i="4"/>
  <c r="G131" i="4"/>
  <c r="G184" i="1" l="1"/>
  <c r="F184" i="1"/>
  <c r="F132" i="4"/>
  <c r="G132" i="4"/>
  <c r="G185" i="1" l="1"/>
  <c r="F185" i="1"/>
  <c r="G133" i="4"/>
  <c r="F133" i="4"/>
  <c r="G186" i="1" l="1"/>
  <c r="F186" i="1"/>
  <c r="F134" i="4"/>
  <c r="G134" i="4"/>
  <c r="G187" i="1" l="1"/>
  <c r="F187" i="1"/>
  <c r="F135" i="4"/>
  <c r="G135" i="4"/>
  <c r="G188" i="1" l="1"/>
  <c r="F188" i="1"/>
  <c r="G136" i="4"/>
  <c r="F136" i="4"/>
  <c r="G189" i="1" l="1"/>
  <c r="F189" i="1"/>
  <c r="F137" i="4"/>
  <c r="G137" i="4"/>
  <c r="G190" i="1" l="1"/>
  <c r="F190" i="1"/>
  <c r="F138" i="4"/>
  <c r="G138" i="4"/>
  <c r="F191" i="1" l="1"/>
  <c r="G191" i="1"/>
  <c r="G139" i="4"/>
  <c r="F139" i="4"/>
  <c r="F192" i="1" l="1"/>
  <c r="G192" i="1"/>
  <c r="G140" i="4"/>
  <c r="F140" i="4"/>
  <c r="F193" i="1" l="1"/>
  <c r="G193" i="1"/>
  <c r="F141" i="4"/>
  <c r="G141" i="4"/>
  <c r="F194" i="1" l="1"/>
  <c r="G194" i="1"/>
  <c r="F142" i="4"/>
  <c r="G142" i="4"/>
  <c r="F195" i="1" l="1"/>
  <c r="G195" i="1"/>
  <c r="F143" i="4"/>
  <c r="G143" i="4"/>
  <c r="F196" i="1" l="1"/>
  <c r="G196" i="1"/>
  <c r="G144" i="4"/>
  <c r="F144" i="4"/>
  <c r="F197" i="1" l="1"/>
  <c r="G197" i="1"/>
  <c r="F145" i="4"/>
  <c r="G145" i="4"/>
  <c r="F198" i="1" l="1"/>
  <c r="G198" i="1"/>
  <c r="F146" i="4"/>
  <c r="G146" i="4"/>
  <c r="F199" i="1" l="1"/>
  <c r="G199" i="1"/>
  <c r="G147" i="4"/>
  <c r="F147" i="4"/>
  <c r="F200" i="1" l="1"/>
  <c r="G200" i="1"/>
  <c r="G148" i="4"/>
  <c r="F148" i="4"/>
  <c r="G201" i="1" l="1"/>
  <c r="F201" i="1"/>
  <c r="G149" i="4"/>
  <c r="F149" i="4"/>
  <c r="G202" i="1" l="1"/>
  <c r="F202" i="1"/>
  <c r="F150" i="4"/>
  <c r="G150" i="4"/>
  <c r="G203" i="1" l="1"/>
  <c r="F203" i="1"/>
  <c r="F151" i="4"/>
  <c r="G151" i="4"/>
  <c r="G204" i="1" l="1"/>
  <c r="F204" i="1"/>
  <c r="F152" i="4"/>
  <c r="G152" i="4"/>
  <c r="G205" i="1" l="1"/>
  <c r="F205" i="1"/>
  <c r="G153" i="4"/>
  <c r="F153" i="4"/>
  <c r="G206" i="1" l="1"/>
  <c r="F206" i="1"/>
  <c r="G207" i="1" l="1"/>
  <c r="F207" i="1"/>
  <c r="G208" i="1" l="1"/>
  <c r="F208" i="1"/>
</calcChain>
</file>

<file path=xl/sharedStrings.xml><?xml version="1.0" encoding="utf-8"?>
<sst xmlns="http://schemas.openxmlformats.org/spreadsheetml/2006/main" count="1914" uniqueCount="600">
  <si>
    <t>Srl</t>
  </si>
  <si>
    <t>Full Name</t>
  </si>
  <si>
    <t>Block</t>
  </si>
  <si>
    <t>Field Length</t>
  </si>
  <si>
    <t>Byte Position</t>
  </si>
  <si>
    <t>Quarter</t>
  </si>
  <si>
    <t>Visit</t>
  </si>
  <si>
    <t>Sector</t>
  </si>
  <si>
    <t>Sample Sg/Sb No.</t>
  </si>
  <si>
    <t>Second Stage Stratum No.</t>
  </si>
  <si>
    <t>Sample Household Number</t>
  </si>
  <si>
    <t>State/Ut Code</t>
  </si>
  <si>
    <t>Stratum</t>
  </si>
  <si>
    <t>Sub-Stratum</t>
  </si>
  <si>
    <t>Sub-Sample</t>
  </si>
  <si>
    <t>Fod Sub-Region</t>
  </si>
  <si>
    <t>Survey Code</t>
  </si>
  <si>
    <t>Total Time Taken To Canvass Sch. 10.4</t>
  </si>
  <si>
    <t>Household Size</t>
  </si>
  <si>
    <t>Household Type</t>
  </si>
  <si>
    <t>Religion</t>
  </si>
  <si>
    <t>Social Group</t>
  </si>
  <si>
    <t>Household'S Usual Consumer Expenditure In A Month (Rs.)</t>
  </si>
  <si>
    <t>Schdule</t>
  </si>
  <si>
    <t>Month of Survey</t>
  </si>
  <si>
    <t>Response Code</t>
  </si>
  <si>
    <t>Informant Serial no.</t>
  </si>
  <si>
    <t>Reason for Substitution of original household</t>
  </si>
  <si>
    <t>Survey Date</t>
  </si>
  <si>
    <t>2(i)</t>
  </si>
  <si>
    <t>Generated</t>
  </si>
  <si>
    <t>NSS-Region</t>
  </si>
  <si>
    <t>Person Serial No.</t>
  </si>
  <si>
    <t>Relationship To Head</t>
  </si>
  <si>
    <t>Age</t>
  </si>
  <si>
    <t>Marital Status</t>
  </si>
  <si>
    <t>General Educaion Level</t>
  </si>
  <si>
    <t>Technical Educaion Level</t>
  </si>
  <si>
    <t>No. of years in Formal Education</t>
  </si>
  <si>
    <t>Status of Current Attendance in Educational Institution</t>
  </si>
  <si>
    <t>Whether received any Vocational/Technical Training</t>
  </si>
  <si>
    <t>Whether Training completed during last 365 Days</t>
  </si>
  <si>
    <t>Field Of Training</t>
  </si>
  <si>
    <t>Duration Of Training</t>
  </si>
  <si>
    <t>Type Of Training</t>
  </si>
  <si>
    <t>Source Of Funding The Training</t>
  </si>
  <si>
    <t>Status Code</t>
  </si>
  <si>
    <t>Whether Engaged In Any Work In Subsidiary Capacity</t>
  </si>
  <si>
    <t>Earnings For Regular Salarid/Wage Activity</t>
  </si>
  <si>
    <t>(Principal)location Of Workplace Code</t>
  </si>
  <si>
    <t>(Principal) Enterprise Type Code</t>
  </si>
  <si>
    <t>(Principal) No. Of Workers In The Enterprise</t>
  </si>
  <si>
    <t>(Principal)  Type Of Job Contract</t>
  </si>
  <si>
    <t>(Principal) Eligble Of Paid Leave</t>
  </si>
  <si>
    <t>(Principal) Social Security Benefits</t>
  </si>
  <si>
    <t>(Subsidiary) location Of Workplace Code</t>
  </si>
  <si>
    <t>(Subsidiary)  Enterprise Type Code</t>
  </si>
  <si>
    <t>(Subsidiary)  No. Of Workers In The Enterprise</t>
  </si>
  <si>
    <t>(Subsidiary)   Type Of Job Contract</t>
  </si>
  <si>
    <t>(Subsidiary)  Eligble Of Paid Leave</t>
  </si>
  <si>
    <t>(Subsidiary)  Social Security Benefits</t>
  </si>
  <si>
    <t>Status Code for activity 1</t>
  </si>
  <si>
    <t>Status Code for activity 2</t>
  </si>
  <si>
    <t>6/3.1</t>
  </si>
  <si>
    <t>6/3.2</t>
  </si>
  <si>
    <t>9/3.2</t>
  </si>
  <si>
    <t>9/3.1</t>
  </si>
  <si>
    <t>9/3.7</t>
  </si>
  <si>
    <t>9/3.6</t>
  </si>
  <si>
    <t>4/3.1</t>
  </si>
  <si>
    <t>5/3.1</t>
  </si>
  <si>
    <t>total hours actually worked on 7th day</t>
  </si>
  <si>
    <t>wage earning for activity 2 on 7 th day</t>
  </si>
  <si>
    <t>wage earning for activity 1 on 7 th day</t>
  </si>
  <si>
    <t>hours actuallly worked for activity 1 on 7 th day</t>
  </si>
  <si>
    <t>hours available for aditional worked on 7th day</t>
  </si>
  <si>
    <t>7/3.1</t>
  </si>
  <si>
    <t>8/3.1</t>
  </si>
  <si>
    <t>8/3.2</t>
  </si>
  <si>
    <t>4/3.2</t>
  </si>
  <si>
    <t>5/3.2</t>
  </si>
  <si>
    <t>7/3.2</t>
  </si>
  <si>
    <t>hours actuallly worked for activity 1 on 6 th day</t>
  </si>
  <si>
    <t>hours actuallly worked for activity 2 on 6 th day</t>
  </si>
  <si>
    <t>wage earning for activity 2 on 6 th day</t>
  </si>
  <si>
    <t>total hours actually worked on 6th day</t>
  </si>
  <si>
    <t>hours available for aditional worked on 6th day</t>
  </si>
  <si>
    <t>hours actuallly worked for activity 2 on 7 th day</t>
  </si>
  <si>
    <t>4/3.3</t>
  </si>
  <si>
    <t>5/3.3</t>
  </si>
  <si>
    <t>6/3.3</t>
  </si>
  <si>
    <t>9/3.3</t>
  </si>
  <si>
    <t>7/3.3</t>
  </si>
  <si>
    <t>8/3.3</t>
  </si>
  <si>
    <t>hours actuallly worked for activity 1 on5 th day</t>
  </si>
  <si>
    <t>wage earning for activity 1 on 5 th day</t>
  </si>
  <si>
    <t>hours actuallly worked for activity 2 on 5 th day</t>
  </si>
  <si>
    <t>wage earning for activity 2 on 5 th day</t>
  </si>
  <si>
    <t>total hours actually worked on 5th day</t>
  </si>
  <si>
    <t>hours available for aditional worked on 5th day</t>
  </si>
  <si>
    <t>4/3.4</t>
  </si>
  <si>
    <t>5/3.4</t>
  </si>
  <si>
    <t>6/3.4</t>
  </si>
  <si>
    <t>9/3.4</t>
  </si>
  <si>
    <t>7/3.4</t>
  </si>
  <si>
    <t>8/3.4</t>
  </si>
  <si>
    <t>hours actuallly worked for activity 1 on 4th day</t>
  </si>
  <si>
    <t>hours actuallly worked for activity 2 on 4th day</t>
  </si>
  <si>
    <t>wage earning for activity 1 on 4th day</t>
  </si>
  <si>
    <t>wage earning for activity 2 on 4th day</t>
  </si>
  <si>
    <t>total hours actually worked on 4th day</t>
  </si>
  <si>
    <t>hours available for aditional worked on 4th day</t>
  </si>
  <si>
    <t>4/3.5</t>
  </si>
  <si>
    <t>5/3.5</t>
  </si>
  <si>
    <t>6/3.5</t>
  </si>
  <si>
    <t>9/3.5</t>
  </si>
  <si>
    <t>7/3.5</t>
  </si>
  <si>
    <t>8/3.5</t>
  </si>
  <si>
    <t>hours actuallly worked for activity 1 on 3rd day</t>
  </si>
  <si>
    <t>wage earning for activity 1 on 3rd day</t>
  </si>
  <si>
    <t>hours actuallly worked for activity 2 on 3rd day</t>
  </si>
  <si>
    <t>wage earning for activity 2 on 3 rd day</t>
  </si>
  <si>
    <t>total hours actually worked on 3rd day</t>
  </si>
  <si>
    <t>hours available for aditional worked on 3rd day</t>
  </si>
  <si>
    <t>hours actuallly worked for activity 1 on 2nd day</t>
  </si>
  <si>
    <t>wage earning for activity 1 on 2nd day</t>
  </si>
  <si>
    <t>hours actuallly worked for activity 2 on 2nd day</t>
  </si>
  <si>
    <t>wage earning for activity 2 on 2nd day</t>
  </si>
  <si>
    <t>total hours actually worked on 2nd day</t>
  </si>
  <si>
    <t>hours available for aditional worked on 2nd day</t>
  </si>
  <si>
    <t>4/3.6</t>
  </si>
  <si>
    <t>5/3.6</t>
  </si>
  <si>
    <t>6/3.6</t>
  </si>
  <si>
    <t>7/3.6</t>
  </si>
  <si>
    <t>8/3.6</t>
  </si>
  <si>
    <t>4/3.7</t>
  </si>
  <si>
    <t>5/3.7</t>
  </si>
  <si>
    <t>6/3.7</t>
  </si>
  <si>
    <t>7/3.7</t>
  </si>
  <si>
    <t>8/3.7</t>
  </si>
  <si>
    <t>hours actuallly worked for activity 1 on 1st day</t>
  </si>
  <si>
    <t>wage earning for activity 1 on 1st day</t>
  </si>
  <si>
    <t>hours actuallly worked for activity 2 on 1st day</t>
  </si>
  <si>
    <t>wage earning for activity 2 on 1st day</t>
  </si>
  <si>
    <t>total hours actually worked on 1st day</t>
  </si>
  <si>
    <t>hours available for aditional worked on 1st day</t>
  </si>
  <si>
    <t>Current Weekly Status (CWS)</t>
  </si>
  <si>
    <t>Industry Code (CWS)</t>
  </si>
  <si>
    <t>Occupation Code (CWS)</t>
  </si>
  <si>
    <t>Remarks</t>
  </si>
  <si>
    <t>File Identification</t>
  </si>
  <si>
    <t>FSU</t>
  </si>
  <si>
    <t>Ns count for sector x stratum x substratum</t>
  </si>
  <si>
    <t>Ns count for sector x stratum x substratum x sub-sample</t>
  </si>
  <si>
    <t>Sub-sample wise Multiplier</t>
  </si>
  <si>
    <t>Industry Code (NIC)</t>
  </si>
  <si>
    <t>Occupation Code (NCO)</t>
  </si>
  <si>
    <t>Industry Code (NIC) for activity 1</t>
  </si>
  <si>
    <t>Industry Code (NIC) for activity 2</t>
  </si>
  <si>
    <t>Item /Col.</t>
  </si>
  <si>
    <t>District Code</t>
  </si>
  <si>
    <t>Household's usual consumer Expenditure in A Month for purposes out of Goods and Services(Rs.)</t>
  </si>
  <si>
    <t>Imputed value of usual consumption in a month out of Home Grown stock (Rs.)</t>
  </si>
  <si>
    <t>Imputed value of usual consumption in a Month from wages in kind,free collection, gifts etc. (Rs.)</t>
  </si>
  <si>
    <t>Household's Annual Expenditure on purchase of items like clothing, footwear etc.(Rs.)</t>
  </si>
  <si>
    <t>Household's Annual Expenditure on purchase of durables like Bedstead, TV, fridge etc.(Rs.)</t>
  </si>
  <si>
    <t>(Principal) Usage of product of the economic activity</t>
  </si>
  <si>
    <t>(Subsidiary) Usage of product of the economic activity</t>
  </si>
  <si>
    <t>Ever Worked Prior to last 365 days</t>
  </si>
  <si>
    <t>Duration of engagement in the economic activity in usual Principal Activity Status</t>
  </si>
  <si>
    <t>Duration of engagement in the economic activity in Subsidiary Activity Status</t>
  </si>
  <si>
    <t>Efforts undertaken to search work</t>
  </si>
  <si>
    <t>Duration of spell of Unemployment</t>
  </si>
  <si>
    <t xml:space="preserve">Whether Ever Worked </t>
  </si>
  <si>
    <t xml:space="preserve"> Reason for not working in last 365 days</t>
  </si>
  <si>
    <t xml:space="preserve">Main reason for being in Principal activity status (91 to 97) </t>
  </si>
  <si>
    <t>Earnings For Regular Salaried/Wage Activity</t>
  </si>
  <si>
    <t>Earnings For Self Employed</t>
  </si>
  <si>
    <t>Q1 to Q4</t>
  </si>
  <si>
    <t>Gender</t>
  </si>
  <si>
    <t>Field_Name</t>
  </si>
  <si>
    <t>file_id</t>
  </si>
  <si>
    <t>sch</t>
  </si>
  <si>
    <t>qtr</t>
  </si>
  <si>
    <t>visit</t>
  </si>
  <si>
    <t>sec</t>
  </si>
  <si>
    <t>st</t>
  </si>
  <si>
    <t>dc</t>
  </si>
  <si>
    <t>nss_reg</t>
  </si>
  <si>
    <t>strm</t>
  </si>
  <si>
    <t>sstrm</t>
  </si>
  <si>
    <t>ss</t>
  </si>
  <si>
    <t>sro</t>
  </si>
  <si>
    <t>mfsu</t>
  </si>
  <si>
    <t>seg</t>
  </si>
  <si>
    <t>sss</t>
  </si>
  <si>
    <t>ssu</t>
  </si>
  <si>
    <t>smonth</t>
  </si>
  <si>
    <t>resp_code</t>
  </si>
  <si>
    <t>svc</t>
  </si>
  <si>
    <t>rea_sub</t>
  </si>
  <si>
    <t>hh_size</t>
  </si>
  <si>
    <t>hhtype</t>
  </si>
  <si>
    <t>relg</t>
  </si>
  <si>
    <t>sg</t>
  </si>
  <si>
    <t>hce1</t>
  </si>
  <si>
    <t>hce2</t>
  </si>
  <si>
    <t>hce3</t>
  </si>
  <si>
    <t>hce4</t>
  </si>
  <si>
    <t>hce5</t>
  </si>
  <si>
    <t>hce_tot</t>
  </si>
  <si>
    <t>inf_srl</t>
  </si>
  <si>
    <t>sur_date</t>
  </si>
  <si>
    <t>sur_time</t>
  </si>
  <si>
    <t>nss</t>
  </si>
  <si>
    <t>nsc</t>
  </si>
  <si>
    <t>mult</t>
  </si>
  <si>
    <t>no_qtr</t>
  </si>
  <si>
    <t>srl</t>
  </si>
  <si>
    <t>rel</t>
  </si>
  <si>
    <t>Sex</t>
  </si>
  <si>
    <t>sex</t>
  </si>
  <si>
    <t>age</t>
  </si>
  <si>
    <t>marst</t>
  </si>
  <si>
    <t>gedu_lvl</t>
  </si>
  <si>
    <t>tedu_lvl</t>
  </si>
  <si>
    <t>form_edu</t>
  </si>
  <si>
    <t>curr_att</t>
  </si>
  <si>
    <t>voc</t>
  </si>
  <si>
    <t>voc_compl</t>
  </si>
  <si>
    <t>voc_fld</t>
  </si>
  <si>
    <t>voc_dur</t>
  </si>
  <si>
    <t>voc_typ</t>
  </si>
  <si>
    <t>voc_fund</t>
  </si>
  <si>
    <t>pas</t>
  </si>
  <si>
    <t>ind_pas</t>
  </si>
  <si>
    <t>ocu_pas</t>
  </si>
  <si>
    <t>has_sas</t>
  </si>
  <si>
    <t>loc_pas</t>
  </si>
  <si>
    <t>etyp_pas</t>
  </si>
  <si>
    <t>wrkr_pas</t>
  </si>
  <si>
    <t>job_pas</t>
  </si>
  <si>
    <t>leave_pas</t>
  </si>
  <si>
    <t>ssec_pas</t>
  </si>
  <si>
    <t>ecoprd_pas</t>
  </si>
  <si>
    <t>sas</t>
  </si>
  <si>
    <t>ind_sas</t>
  </si>
  <si>
    <t>ocu_sas</t>
  </si>
  <si>
    <t>loc_sas</t>
  </si>
  <si>
    <t>etyp_sas</t>
  </si>
  <si>
    <t>wrkr_sas</t>
  </si>
  <si>
    <t>job_sas</t>
  </si>
  <si>
    <t>leave_sas</t>
  </si>
  <si>
    <t>ssec_sas</t>
  </si>
  <si>
    <t>ecoprd_sas</t>
  </si>
  <si>
    <t>wrk_365</t>
  </si>
  <si>
    <t>dur_pas</t>
  </si>
  <si>
    <t>dur_sas</t>
  </si>
  <si>
    <t>eff_pas</t>
  </si>
  <si>
    <t>dur_unp</t>
  </si>
  <si>
    <t>evr_wrk</t>
  </si>
  <si>
    <t>rea_nw</t>
  </si>
  <si>
    <t>rea</t>
  </si>
  <si>
    <t>das17</t>
  </si>
  <si>
    <t>ind17</t>
  </si>
  <si>
    <t>hr17</t>
  </si>
  <si>
    <t>ern17</t>
  </si>
  <si>
    <t>das27</t>
  </si>
  <si>
    <t>ind27</t>
  </si>
  <si>
    <t>hr27</t>
  </si>
  <si>
    <t>ern27</t>
  </si>
  <si>
    <t>hr7</t>
  </si>
  <si>
    <t>ahr7</t>
  </si>
  <si>
    <t>das16</t>
  </si>
  <si>
    <t>ind16</t>
  </si>
  <si>
    <t>hr16</t>
  </si>
  <si>
    <t>ern16</t>
  </si>
  <si>
    <t>das26</t>
  </si>
  <si>
    <t>ind26</t>
  </si>
  <si>
    <t>hr26</t>
  </si>
  <si>
    <t>ern26</t>
  </si>
  <si>
    <t>hr6</t>
  </si>
  <si>
    <t>ahr6</t>
  </si>
  <si>
    <t>das15</t>
  </si>
  <si>
    <t>ind15</t>
  </si>
  <si>
    <t>hr15</t>
  </si>
  <si>
    <t>ern15</t>
  </si>
  <si>
    <t>das25</t>
  </si>
  <si>
    <t>ind25</t>
  </si>
  <si>
    <t>hr25</t>
  </si>
  <si>
    <t>ern25</t>
  </si>
  <si>
    <t>hr5</t>
  </si>
  <si>
    <t>ahr5</t>
  </si>
  <si>
    <t>das14</t>
  </si>
  <si>
    <t>ind14</t>
  </si>
  <si>
    <t>hr14</t>
  </si>
  <si>
    <t>ern14</t>
  </si>
  <si>
    <t>das24</t>
  </si>
  <si>
    <t>ind24</t>
  </si>
  <si>
    <t>hr24</t>
  </si>
  <si>
    <t>ern24</t>
  </si>
  <si>
    <t>hr4</t>
  </si>
  <si>
    <t>ahr4</t>
  </si>
  <si>
    <t>das13</t>
  </si>
  <si>
    <t>ind13</t>
  </si>
  <si>
    <t>hr13</t>
  </si>
  <si>
    <t>ern13</t>
  </si>
  <si>
    <t>das23</t>
  </si>
  <si>
    <t>ind23</t>
  </si>
  <si>
    <t>hr23</t>
  </si>
  <si>
    <t>ern23</t>
  </si>
  <si>
    <t>hr3</t>
  </si>
  <si>
    <t>ahr3</t>
  </si>
  <si>
    <t>das12</t>
  </si>
  <si>
    <t>ind12</t>
  </si>
  <si>
    <t>hr12</t>
  </si>
  <si>
    <t>ern12</t>
  </si>
  <si>
    <t>das22</t>
  </si>
  <si>
    <t>ind22</t>
  </si>
  <si>
    <t>hr22</t>
  </si>
  <si>
    <t>ern22</t>
  </si>
  <si>
    <t>hr2</t>
  </si>
  <si>
    <t>ahr2</t>
  </si>
  <si>
    <t>das11</t>
  </si>
  <si>
    <t>ind11</t>
  </si>
  <si>
    <t>hr11</t>
  </si>
  <si>
    <t>ern11</t>
  </si>
  <si>
    <t>das21</t>
  </si>
  <si>
    <t>ind21</t>
  </si>
  <si>
    <t>hr21</t>
  </si>
  <si>
    <t>ern21</t>
  </si>
  <si>
    <t>hr1</t>
  </si>
  <si>
    <t>ahr1</t>
  </si>
  <si>
    <t>acws</t>
  </si>
  <si>
    <t>aind_cws</t>
  </si>
  <si>
    <t>ocu_cws</t>
  </si>
  <si>
    <t>ern_reg</t>
  </si>
  <si>
    <t>ern_self</t>
  </si>
  <si>
    <t>Occurence of FSUs in State x Sector x Stratum x SubStratum in 4 Quarters</t>
  </si>
  <si>
    <t>Occurence of FSUs in State x Sector x Stratum x SubStratum in that Quarter including earlier visits</t>
  </si>
  <si>
    <t>field_name</t>
  </si>
  <si>
    <t>field_type</t>
  </si>
  <si>
    <t>field_len</t>
  </si>
  <si>
    <t>FSUID</t>
  </si>
  <si>
    <t>C</t>
  </si>
  <si>
    <t>QTR</t>
  </si>
  <si>
    <t>SEC</t>
  </si>
  <si>
    <t>ST</t>
  </si>
  <si>
    <t>N</t>
  </si>
  <si>
    <t>SRO</t>
  </si>
  <si>
    <t>NSS_REG</t>
  </si>
  <si>
    <t>DC</t>
  </si>
  <si>
    <t>SSS</t>
  </si>
  <si>
    <t>SSU</t>
  </si>
  <si>
    <t>VISIT</t>
  </si>
  <si>
    <t>SVC</t>
  </si>
  <si>
    <t>MONTH</t>
  </si>
  <si>
    <t>IDNO</t>
  </si>
  <si>
    <t>HG_SB</t>
  </si>
  <si>
    <t>FL</t>
  </si>
  <si>
    <t>ACTION</t>
  </si>
  <si>
    <t>ERR_CODE</t>
  </si>
  <si>
    <t>VISIT1</t>
  </si>
  <si>
    <t>ERR_CD</t>
  </si>
  <si>
    <t>SRL</t>
  </si>
  <si>
    <t>NAME</t>
  </si>
  <si>
    <t>REL</t>
  </si>
  <si>
    <t>SEX</t>
  </si>
  <si>
    <t>AGE</t>
  </si>
  <si>
    <t>MARST</t>
  </si>
  <si>
    <t>GEDU_LVL</t>
  </si>
  <si>
    <t>TEDU_LVL</t>
  </si>
  <si>
    <t>GRADE</t>
  </si>
  <si>
    <t>YRSBEF1</t>
  </si>
  <si>
    <t>YRSAFT</t>
  </si>
  <si>
    <t>IFLASTYR</t>
  </si>
  <si>
    <t>MNTHS</t>
  </si>
  <si>
    <t>CURR_ATT</t>
  </si>
  <si>
    <t>SECONDARY</t>
  </si>
  <si>
    <t>VOC</t>
  </si>
  <si>
    <t>TRG</t>
  </si>
  <si>
    <t>TRG_COM</t>
  </si>
  <si>
    <t>VOC_COMPL</t>
  </si>
  <si>
    <t>VOC_FLD</t>
  </si>
  <si>
    <t>VOC_DUR</t>
  </si>
  <si>
    <t>VOC_TYP</t>
  </si>
  <si>
    <t>VOC_FUND</t>
  </si>
  <si>
    <t>VOC_CERT</t>
  </si>
  <si>
    <t>PAS</t>
  </si>
  <si>
    <t>DESC_PAS</t>
  </si>
  <si>
    <t>NONAGRI</t>
  </si>
  <si>
    <t>IND_PAS</t>
  </si>
  <si>
    <t>OCU_PAS</t>
  </si>
  <si>
    <t>HAS_SAS</t>
  </si>
  <si>
    <t>LOC_PAS</t>
  </si>
  <si>
    <t>ETYP_PAS</t>
  </si>
  <si>
    <t>WRKR_PAS</t>
  </si>
  <si>
    <t>JOB_PAS</t>
  </si>
  <si>
    <t>LEAVE_PAS</t>
  </si>
  <si>
    <t>SSEC_PAS</t>
  </si>
  <si>
    <t>ECOPRD_PAS</t>
  </si>
  <si>
    <t>B51C15</t>
  </si>
  <si>
    <t>B51C16</t>
  </si>
  <si>
    <t>SAS</t>
  </si>
  <si>
    <t>DESC_SAS</t>
  </si>
  <si>
    <t>NONAGRI2</t>
  </si>
  <si>
    <t>IND_SAS</t>
  </si>
  <si>
    <t>OCU_SAS</t>
  </si>
  <si>
    <t>LOC_SAS</t>
  </si>
  <si>
    <t>ETYP_SAS</t>
  </si>
  <si>
    <t>WRKR_SAS</t>
  </si>
  <si>
    <t>JOB_SAS</t>
  </si>
  <si>
    <t>LEAVE_SAS</t>
  </si>
  <si>
    <t>SSEC_SAS</t>
  </si>
  <si>
    <t>ECOPRD_SAS</t>
  </si>
  <si>
    <t>B52C14</t>
  </si>
  <si>
    <t>B52C15</t>
  </si>
  <si>
    <t>WRK_365</t>
  </si>
  <si>
    <t>DUR_PAS</t>
  </si>
  <si>
    <t>DUR_SAS</t>
  </si>
  <si>
    <t>EFF_PAS</t>
  </si>
  <si>
    <t>DUR_UNP</t>
  </si>
  <si>
    <t>EVR_WRK</t>
  </si>
  <si>
    <t>REA_NW</t>
  </si>
  <si>
    <t>REA</t>
  </si>
  <si>
    <t>DAS17</t>
  </si>
  <si>
    <t>IND17</t>
  </si>
  <si>
    <t>HR17</t>
  </si>
  <si>
    <t>ERN17</t>
  </si>
  <si>
    <t>DAS27</t>
  </si>
  <si>
    <t>IND27</t>
  </si>
  <si>
    <t>HR27</t>
  </si>
  <si>
    <t>ERN27</t>
  </si>
  <si>
    <t>HR7</t>
  </si>
  <si>
    <t>AHR7</t>
  </si>
  <si>
    <t>DAS16</t>
  </si>
  <si>
    <t>IND16</t>
  </si>
  <si>
    <t>HR16</t>
  </si>
  <si>
    <t>ERN16</t>
  </si>
  <si>
    <t>DAS26</t>
  </si>
  <si>
    <t>IND26</t>
  </si>
  <si>
    <t>HR26</t>
  </si>
  <si>
    <t>ERN26</t>
  </si>
  <si>
    <t>HR6</t>
  </si>
  <si>
    <t>AHR6</t>
  </si>
  <si>
    <t>DAS15</t>
  </si>
  <si>
    <t>IND15</t>
  </si>
  <si>
    <t>HR15</t>
  </si>
  <si>
    <t>ERN15</t>
  </si>
  <si>
    <t>DAS25</t>
  </si>
  <si>
    <t>IND25</t>
  </si>
  <si>
    <t>HR25</t>
  </si>
  <si>
    <t>ERN25</t>
  </si>
  <si>
    <t>HR5</t>
  </si>
  <si>
    <t>AHR5</t>
  </si>
  <si>
    <t>DAS14</t>
  </si>
  <si>
    <t>IND14</t>
  </si>
  <si>
    <t>HR14</t>
  </si>
  <si>
    <t>ERN14</t>
  </si>
  <si>
    <t>DAS24</t>
  </si>
  <si>
    <t>IND24</t>
  </si>
  <si>
    <t>HR24</t>
  </si>
  <si>
    <t>ERN24</t>
  </si>
  <si>
    <t>HR4</t>
  </si>
  <si>
    <t>AHR4</t>
  </si>
  <si>
    <t>DAS13</t>
  </si>
  <si>
    <t>IND13</t>
  </si>
  <si>
    <t>HR13</t>
  </si>
  <si>
    <t>ERN13</t>
  </si>
  <si>
    <t>DAS23</t>
  </si>
  <si>
    <t>IND23</t>
  </si>
  <si>
    <t>HR23</t>
  </si>
  <si>
    <t>ERN23</t>
  </si>
  <si>
    <t>HR3</t>
  </si>
  <si>
    <t>AHR3</t>
  </si>
  <si>
    <t>DAS12</t>
  </si>
  <si>
    <t>IND12</t>
  </si>
  <si>
    <t>HR12</t>
  </si>
  <si>
    <t>ERN12</t>
  </si>
  <si>
    <t>DAS22</t>
  </si>
  <si>
    <t>IND22</t>
  </si>
  <si>
    <t>HR22</t>
  </si>
  <si>
    <t>ERN22</t>
  </si>
  <si>
    <t>HR2</t>
  </si>
  <si>
    <t>AHR2</t>
  </si>
  <si>
    <t>DAS11</t>
  </si>
  <si>
    <t>IND11</t>
  </si>
  <si>
    <t>HR11</t>
  </si>
  <si>
    <t>ERN11</t>
  </si>
  <si>
    <t>DAS21</t>
  </si>
  <si>
    <t>IND21</t>
  </si>
  <si>
    <t>HR21</t>
  </si>
  <si>
    <t>ERN21</t>
  </si>
  <si>
    <t>HR1</t>
  </si>
  <si>
    <t>AHR1</t>
  </si>
  <si>
    <t>TOTHRS_WRK</t>
  </si>
  <si>
    <t>TOTADL_WRK</t>
  </si>
  <si>
    <t>CWS</t>
  </si>
  <si>
    <t>DES_CWS</t>
  </si>
  <si>
    <t>IND_CWS</t>
  </si>
  <si>
    <t>OCU_CWS</t>
  </si>
  <si>
    <t>ERN_REG</t>
  </si>
  <si>
    <t>ERN_SELF</t>
  </si>
  <si>
    <t>ERR_4_41</t>
  </si>
  <si>
    <t>ERR_51_52</t>
  </si>
  <si>
    <t>ERR_53</t>
  </si>
  <si>
    <t>ERR_BL6</t>
  </si>
  <si>
    <t>ACWS</t>
  </si>
  <si>
    <t>AIND_CWS</t>
  </si>
  <si>
    <t>DAYS_WRK</t>
  </si>
  <si>
    <t>DAYS_AWRK</t>
  </si>
  <si>
    <t>HOURS_WRK</t>
  </si>
  <si>
    <t>WOULD_WRK</t>
  </si>
  <si>
    <t>ACTUAL_WRK</t>
  </si>
  <si>
    <t>ADDL_WRK</t>
  </si>
  <si>
    <t>DAYS_UN</t>
  </si>
  <si>
    <t>CWS_ORG</t>
  </si>
  <si>
    <t>UPD</t>
  </si>
  <si>
    <t>lposs</t>
  </si>
  <si>
    <t>rent</t>
  </si>
  <si>
    <t>interest</t>
  </si>
  <si>
    <t>pension</t>
  </si>
  <si>
    <t>remit</t>
  </si>
  <si>
    <t>inc_tot</t>
  </si>
  <si>
    <t>Month</t>
  </si>
  <si>
    <t>month</t>
  </si>
  <si>
    <t>land possessed as on the date of survey (code)</t>
  </si>
  <si>
    <t>interest received from investment or savings usually in a month(Rs.)</t>
  </si>
  <si>
    <t>pension received usually in a month(Rs.)</t>
  </si>
  <si>
    <t>remittances usually received in a month(Rs.)</t>
  </si>
  <si>
    <t>Household's total income(Rs.)</t>
  </si>
  <si>
    <t>rent received from land and rental received from building usually in a month(Rs.)</t>
  </si>
  <si>
    <t>llease</t>
  </si>
  <si>
    <t>land leased-out as on the date of survey (code)</t>
  </si>
  <si>
    <t>match</t>
  </si>
  <si>
    <t>yrsbef1</t>
  </si>
  <si>
    <t>yrsaft</t>
  </si>
  <si>
    <t>iflastyr</t>
  </si>
  <si>
    <t>mnths</t>
  </si>
  <si>
    <t>grade</t>
  </si>
  <si>
    <t>secondary</t>
  </si>
  <si>
    <t>trg</t>
  </si>
  <si>
    <t>trg_com</t>
  </si>
  <si>
    <t>voc_cert</t>
  </si>
  <si>
    <t>tothrs_wrk</t>
  </si>
  <si>
    <t>totadl_wrk</t>
  </si>
  <si>
    <t>class/grade successfully completed</t>
  </si>
  <si>
    <t xml:space="preserve">year(s) of education completed prior to class I </t>
  </si>
  <si>
    <t>year(s) of education completed after the class/grade recorded in column 10</t>
  </si>
  <si>
    <t>whether the last completed year of education recorded in column 12 was the last year of education attended</t>
  </si>
  <si>
    <t>No. of months attended in the last year of Education</t>
  </si>
  <si>
    <t>whether attended secondary education</t>
  </si>
  <si>
    <t>whether received or receiving any training or course for entrance in higher education or for employment exams by an institute / training center</t>
  </si>
  <si>
    <t xml:space="preserve">when the training / course mentioned in col 17 or col 18 was completed </t>
  </si>
  <si>
    <t>nature of the certifying body from which vocational / technical training received</t>
  </si>
  <si>
    <t>total hours actually worked during the week</t>
  </si>
  <si>
    <t>total hours available for additional work</t>
  </si>
  <si>
    <t>4 (7)</t>
  </si>
  <si>
    <t>4 (8)</t>
  </si>
  <si>
    <t>CFVH5</t>
  </si>
  <si>
    <t>Multiplier</t>
  </si>
  <si>
    <t>zst</t>
  </si>
  <si>
    <t>caph</t>
  </si>
  <si>
    <t>smallh</t>
  </si>
  <si>
    <t>bstrm</t>
  </si>
  <si>
    <t>Stratum size</t>
  </si>
  <si>
    <t>Number of selected households</t>
  </si>
  <si>
    <t>Number of listed households</t>
  </si>
  <si>
    <t>Basic stratum</t>
  </si>
  <si>
    <t>rent received from land and rental received from building usually in a month: make entry in whole number of rupees</t>
  </si>
  <si>
    <t>interest received from investment or savings usually in a month: make entry in whole number of rupees</t>
  </si>
  <si>
    <t>pension received usually in a month: make entry in whole number of rupees</t>
  </si>
  <si>
    <t>remittances usually received in a month: make entry in whole number of rupees</t>
  </si>
  <si>
    <t>total of items 7.1 to 7.4: make entry in whole number of rupees</t>
  </si>
  <si>
    <t>01 to 12</t>
  </si>
  <si>
    <t>totalsd</t>
  </si>
  <si>
    <t>Byte Position (Start)</t>
  </si>
  <si>
    <t>Byte Position (End)</t>
  </si>
  <si>
    <t>Group</t>
  </si>
  <si>
    <t>grp</t>
  </si>
  <si>
    <t>CFVP5</t>
  </si>
  <si>
    <t>V1</t>
  </si>
  <si>
    <t>Up to June 2025</t>
  </si>
  <si>
    <t>Up to June 2025: 0-29 years, From July 2025: 0-59 years</t>
  </si>
  <si>
    <t>From July 2025</t>
  </si>
  <si>
    <t>Basic Stratum</t>
  </si>
  <si>
    <t>Total Sub-Division</t>
  </si>
  <si>
    <t>Nature of the certifying body from which vocational / technical training received</t>
  </si>
  <si>
    <t>PLFS PERSON LEVEL DATA (FIRST VISIT) OF CALENDAR YEAR 2025</t>
  </si>
  <si>
    <t>PLFS HOUSEHOLD LEVEL DATA  (FIRST VISIT) OF CALENDAR YEAR 2025</t>
  </si>
  <si>
    <t>V1 for first visit</t>
  </si>
  <si>
    <t>Sch. 0.0, block 4.2A, item 3</t>
  </si>
  <si>
    <t>Sch. 0.0, block 6, col. 4</t>
  </si>
  <si>
    <t>Sch. 0.0, block 6, col. 5</t>
  </si>
  <si>
    <t>Ns count (# of FSUs surveyed) for sector x stratum x group x substratum</t>
  </si>
  <si>
    <t>Panel code</t>
  </si>
  <si>
    <t>File: CHHV1.txt  (HOUSEHOLD LEVEL-FIRST VISIT)         RECORD LENTH:218+1</t>
  </si>
  <si>
    <t>05' generated</t>
  </si>
  <si>
    <t xml:space="preserve"> File: CPERV1.txt (PERSON LEVEL)             RECORD LENGTH: 371+1</t>
  </si>
  <si>
    <t>panel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</si>
</sst>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sz val="12"/>
      <color rgb="FFFF0000"/>
      <name val="Times New Roman"/>
      <family val="1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name val="Tahoma"/>
      <family val="2"/>
    </font>
    <font>
      <sz val="10"/>
      <color rgb="FFFF0000"/>
      <name val="Tahoma"/>
      <family val="2"/>
    </font>
    <font>
      <sz val="11"/>
      <color rgb="FFFF0000"/>
      <name val="Calibri"/>
      <family val="2"/>
      <scheme val="minor"/>
    </font>
    <font>
      <b/>
      <sz val="12"/>
      <name val="Times New Roman"/>
      <family val="1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2" fillId="0" borderId="1" xfId="0" applyFont="1" applyBorder="1"/>
    <xf numFmtId="0" fontId="2" fillId="0" borderId="0" xfId="0" applyFont="1"/>
    <xf numFmtId="0" fontId="2" fillId="0" borderId="1" xfId="0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2" fillId="3" borderId="1" xfId="0" applyFont="1" applyFill="1" applyBorder="1"/>
    <xf numFmtId="0" fontId="2" fillId="3" borderId="1" xfId="0" applyFont="1" applyFill="1" applyBorder="1" applyAlignment="1">
      <alignment vertical="top"/>
    </xf>
    <xf numFmtId="0" fontId="2" fillId="3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horizontal="right" vertical="top"/>
    </xf>
    <xf numFmtId="0" fontId="2" fillId="0" borderId="0" xfId="0" applyFont="1" applyAlignment="1">
      <alignment vertical="top"/>
    </xf>
    <xf numFmtId="0" fontId="2" fillId="0" borderId="1" xfId="0" applyFont="1" applyBorder="1" applyAlignment="1">
      <alignment vertical="top"/>
    </xf>
    <xf numFmtId="0" fontId="3" fillId="0" borderId="1" xfId="0" applyFont="1" applyBorder="1" applyAlignment="1">
      <alignment vertical="top" wrapText="1"/>
    </xf>
    <xf numFmtId="0" fontId="3" fillId="3" borderId="1" xfId="0" applyFont="1" applyFill="1" applyBorder="1" applyAlignment="1">
      <alignment horizontal="right" vertical="top"/>
    </xf>
    <xf numFmtId="0" fontId="3" fillId="0" borderId="1" xfId="0" applyFont="1" applyBorder="1" applyAlignment="1">
      <alignment vertical="top"/>
    </xf>
    <xf numFmtId="0" fontId="2" fillId="0" borderId="1" xfId="0" applyFont="1" applyBorder="1" applyAlignment="1">
      <alignment horizontal="left" vertical="top"/>
    </xf>
    <xf numFmtId="0" fontId="2" fillId="3" borderId="0" xfId="0" applyFont="1" applyFill="1"/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top" wrapText="1"/>
    </xf>
    <xf numFmtId="0" fontId="1" fillId="5" borderId="1" xfId="0" applyFont="1" applyFill="1" applyBorder="1" applyAlignment="1">
      <alignment vertical="center"/>
    </xf>
    <xf numFmtId="0" fontId="1" fillId="5" borderId="1" xfId="0" applyFont="1" applyFill="1" applyBorder="1" applyAlignment="1">
      <alignment horizontal="right" vertical="center"/>
    </xf>
    <xf numFmtId="0" fontId="1" fillId="5" borderId="1" xfId="0" applyFont="1" applyFill="1" applyBorder="1" applyAlignment="1">
      <alignment horizontal="right" vertical="center" wrapText="1"/>
    </xf>
    <xf numFmtId="0" fontId="2" fillId="0" borderId="1" xfId="0" quotePrefix="1" applyFont="1" applyBorder="1" applyAlignment="1">
      <alignment vertical="top" wrapText="1"/>
    </xf>
    <xf numFmtId="0" fontId="2" fillId="0" borderId="1" xfId="0" applyFont="1" applyBorder="1" applyAlignment="1">
      <alignment horizontal="right" vertical="top"/>
    </xf>
    <xf numFmtId="0" fontId="4" fillId="0" borderId="1" xfId="0" applyFont="1" applyBorder="1" applyAlignment="1">
      <alignment vertical="top"/>
    </xf>
    <xf numFmtId="0" fontId="4" fillId="0" borderId="0" xfId="0" applyFont="1"/>
    <xf numFmtId="0" fontId="3" fillId="3" borderId="1" xfId="0" applyFont="1" applyFill="1" applyBorder="1" applyAlignment="1">
      <alignment vertical="top"/>
    </xf>
    <xf numFmtId="0" fontId="3" fillId="3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top"/>
    </xf>
    <xf numFmtId="0" fontId="6" fillId="0" borderId="1" xfId="0" applyFont="1" applyBorder="1" applyAlignment="1">
      <alignment vertical="top"/>
    </xf>
    <xf numFmtId="0" fontId="6" fillId="3" borderId="1" xfId="0" applyFont="1" applyFill="1" applyBorder="1" applyAlignment="1">
      <alignment vertical="top"/>
    </xf>
    <xf numFmtId="0" fontId="6" fillId="0" borderId="1" xfId="0" applyFont="1" applyBorder="1"/>
    <xf numFmtId="0" fontId="6" fillId="3" borderId="1" xfId="0" applyFont="1" applyFill="1" applyBorder="1" applyAlignment="1">
      <alignment horizontal="right" vertical="top"/>
    </xf>
    <xf numFmtId="0" fontId="6" fillId="0" borderId="1" xfId="0" quotePrefix="1" applyFont="1" applyBorder="1" applyAlignment="1">
      <alignment vertical="top"/>
    </xf>
    <xf numFmtId="0" fontId="7" fillId="0" borderId="1" xfId="0" applyFont="1" applyBorder="1" applyAlignment="1">
      <alignment vertical="top"/>
    </xf>
    <xf numFmtId="0" fontId="7" fillId="3" borderId="1" xfId="0" applyFont="1" applyFill="1" applyBorder="1" applyAlignment="1">
      <alignment horizontal="right" vertical="top"/>
    </xf>
    <xf numFmtId="0" fontId="7" fillId="3" borderId="1" xfId="0" applyFont="1" applyFill="1" applyBorder="1" applyAlignment="1">
      <alignment vertical="top"/>
    </xf>
    <xf numFmtId="0" fontId="6" fillId="0" borderId="1" xfId="0" applyFont="1" applyBorder="1" applyAlignment="1">
      <alignment horizontal="right" vertical="top"/>
    </xf>
    <xf numFmtId="0" fontId="7" fillId="0" borderId="1" xfId="0" applyFont="1" applyBorder="1" applyAlignment="1">
      <alignment horizontal="right" vertical="top"/>
    </xf>
    <xf numFmtId="0" fontId="8" fillId="0" borderId="1" xfId="0" applyFont="1" applyBorder="1" applyAlignment="1">
      <alignment vertical="top"/>
    </xf>
    <xf numFmtId="0" fontId="6" fillId="0" borderId="1" xfId="0" applyFont="1" applyBorder="1" applyAlignment="1">
      <alignment vertical="top" wrapText="1"/>
    </xf>
    <xf numFmtId="0" fontId="6" fillId="0" borderId="1" xfId="0" applyFont="1" applyBorder="1" applyAlignment="1">
      <alignment horizontal="right" vertical="top" wrapText="1"/>
    </xf>
    <xf numFmtId="0" fontId="9" fillId="0" borderId="0" xfId="0" applyFont="1"/>
    <xf numFmtId="0" fontId="0" fillId="2" borderId="0" xfId="0" applyFill="1"/>
    <xf numFmtId="0" fontId="9" fillId="2" borderId="0" xfId="0" applyFont="1" applyFill="1"/>
    <xf numFmtId="0" fontId="0" fillId="0" borderId="1" xfId="0" applyBorder="1"/>
    <xf numFmtId="0" fontId="5" fillId="5" borderId="1" xfId="0" applyFont="1" applyFill="1" applyBorder="1" applyAlignment="1">
      <alignment vertical="top"/>
    </xf>
    <xf numFmtId="0" fontId="0" fillId="0" borderId="0" xfId="0" applyAlignment="1">
      <alignment horizontal="right"/>
    </xf>
    <xf numFmtId="0" fontId="2" fillId="0" borderId="2" xfId="0" applyFont="1" applyBorder="1" applyAlignment="1">
      <alignment vertical="top"/>
    </xf>
    <xf numFmtId="0" fontId="1" fillId="5" borderId="4" xfId="0" applyFont="1" applyFill="1" applyBorder="1" applyAlignment="1">
      <alignment vertical="center"/>
    </xf>
    <xf numFmtId="0" fontId="2" fillId="0" borderId="5" xfId="0" applyFont="1" applyBorder="1" applyAlignment="1">
      <alignment horizontal="left" vertical="top"/>
    </xf>
    <xf numFmtId="0" fontId="7" fillId="0" borderId="1" xfId="0" applyFont="1" applyBorder="1"/>
    <xf numFmtId="0" fontId="11" fillId="0" borderId="1" xfId="0" applyFont="1" applyBorder="1"/>
    <xf numFmtId="0" fontId="0" fillId="0" borderId="1" xfId="0" applyBorder="1" applyAlignment="1">
      <alignment horizontal="right"/>
    </xf>
    <xf numFmtId="0" fontId="2" fillId="0" borderId="1" xfId="0" quotePrefix="1" applyFont="1" applyBorder="1"/>
    <xf numFmtId="0" fontId="1" fillId="5" borderId="2" xfId="0" applyFont="1" applyFill="1" applyBorder="1" applyAlignment="1">
      <alignment horizontal="center" vertical="top" wrapText="1"/>
    </xf>
    <xf numFmtId="0" fontId="1" fillId="5" borderId="3" xfId="0" applyFont="1" applyFill="1" applyBorder="1" applyAlignment="1">
      <alignment horizontal="center" vertical="top" wrapText="1"/>
    </xf>
    <xf numFmtId="0" fontId="2" fillId="0" borderId="1" xfId="0" quotePrefix="1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10" fillId="4" borderId="1" xfId="0" applyFont="1" applyFill="1" applyBorder="1" applyAlignment="1">
      <alignment horizontal="center"/>
    </xf>
    <xf numFmtId="0" fontId="10" fillId="6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D211"/>
  <sheetViews>
    <sheetView tabSelected="1" zoomScaleNormal="100" workbookViewId="0">
      <selection activeCell="B6" sqref="B6"/>
    </sheetView>
  </sheetViews>
  <sheetFormatPr defaultColWidth="0" defaultRowHeight="15.75" zeroHeight="1" x14ac:dyDescent="0.25"/>
  <cols>
    <col min="1" max="1" width="4.42578125" style="2" bestFit="1" customWidth="1"/>
    <col min="2" max="2" width="53.140625" style="2" customWidth="1"/>
    <col min="3" max="3" width="10.5703125" style="2" customWidth="1"/>
    <col min="4" max="4" width="9.7109375" style="2" bestFit="1" customWidth="1"/>
    <col min="5" max="5" width="8.5703125" style="2" customWidth="1"/>
    <col min="6" max="7" width="6.28515625" style="2" customWidth="1"/>
    <col min="8" max="8" width="27.140625" style="2" customWidth="1"/>
    <col min="9" max="9" width="8.85546875" style="2" customWidth="1"/>
    <col min="10" max="10" width="8.85546875" style="2" hidden="1" customWidth="1"/>
    <col min="11" max="51" width="0" style="2" hidden="1" customWidth="1"/>
    <col min="52" max="56" width="0" style="1" hidden="1" customWidth="1"/>
    <col min="57" max="16384" width="8.85546875" style="1" hidden="1"/>
  </cols>
  <sheetData>
    <row r="1" spans="1:51" s="5" customFormat="1" x14ac:dyDescent="0.25">
      <c r="A1" s="60" t="s">
        <v>589</v>
      </c>
      <c r="B1" s="60"/>
      <c r="C1" s="60"/>
      <c r="D1" s="60"/>
      <c r="E1" s="60"/>
      <c r="F1" s="60"/>
      <c r="G1" s="60"/>
      <c r="H1" s="60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</row>
    <row r="2" spans="1:51" x14ac:dyDescent="0.25">
      <c r="A2" s="61" t="s">
        <v>596</v>
      </c>
      <c r="B2" s="61"/>
      <c r="C2" s="61"/>
      <c r="D2" s="61"/>
      <c r="E2" s="61"/>
      <c r="F2" s="61"/>
      <c r="G2" s="61"/>
      <c r="H2" s="61"/>
    </row>
    <row r="3" spans="1:51" ht="31.5" x14ac:dyDescent="0.25">
      <c r="A3" s="16" t="s">
        <v>0</v>
      </c>
      <c r="B3" s="17" t="s">
        <v>1</v>
      </c>
      <c r="C3" s="18" t="s">
        <v>2</v>
      </c>
      <c r="D3" s="18" t="s">
        <v>159</v>
      </c>
      <c r="E3" s="18" t="s">
        <v>3</v>
      </c>
      <c r="F3" s="56" t="s">
        <v>4</v>
      </c>
      <c r="G3" s="57"/>
      <c r="H3" s="16" t="s">
        <v>149</v>
      </c>
    </row>
    <row r="4" spans="1:51" ht="15.6" customHeight="1" x14ac:dyDescent="0.25">
      <c r="A4" s="10">
        <v>1</v>
      </c>
      <c r="B4" s="3" t="s">
        <v>150</v>
      </c>
      <c r="C4" s="6"/>
      <c r="D4" s="7"/>
      <c r="E4" s="10">
        <v>5</v>
      </c>
      <c r="F4" s="10">
        <v>1</v>
      </c>
      <c r="G4" s="10">
        <f>E4</f>
        <v>5</v>
      </c>
      <c r="H4" s="10" t="s">
        <v>559</v>
      </c>
    </row>
    <row r="5" spans="1:51" x14ac:dyDescent="0.25">
      <c r="A5" s="10">
        <v>2</v>
      </c>
      <c r="B5" s="3" t="s">
        <v>23</v>
      </c>
      <c r="C5" s="8">
        <v>1</v>
      </c>
      <c r="D5" s="8">
        <v>2</v>
      </c>
      <c r="E5" s="10">
        <v>3</v>
      </c>
      <c r="F5" s="10">
        <f t="shared" ref="F5:F43" si="0">G4+1</f>
        <v>6</v>
      </c>
      <c r="G5" s="10">
        <f t="shared" ref="G5:G43" si="1">G4+E5</f>
        <v>8</v>
      </c>
      <c r="H5" s="14">
        <v>104</v>
      </c>
    </row>
    <row r="6" spans="1:51" x14ac:dyDescent="0.25">
      <c r="A6" s="10">
        <v>3</v>
      </c>
      <c r="B6" s="3" t="s">
        <v>5</v>
      </c>
      <c r="C6" s="8"/>
      <c r="D6" s="8"/>
      <c r="E6" s="10">
        <v>2</v>
      </c>
      <c r="F6" s="10">
        <f t="shared" si="0"/>
        <v>9</v>
      </c>
      <c r="G6" s="10">
        <f t="shared" si="1"/>
        <v>10</v>
      </c>
      <c r="H6" s="10" t="s">
        <v>178</v>
      </c>
      <c r="I6"/>
    </row>
    <row r="7" spans="1:51" x14ac:dyDescent="0.25">
      <c r="A7" s="10">
        <v>4</v>
      </c>
      <c r="B7" s="3" t="s">
        <v>524</v>
      </c>
      <c r="C7" s="8"/>
      <c r="D7" s="8"/>
      <c r="E7" s="10">
        <v>2</v>
      </c>
      <c r="F7" s="10">
        <f t="shared" si="0"/>
        <v>11</v>
      </c>
      <c r="G7" s="10">
        <f t="shared" si="1"/>
        <v>12</v>
      </c>
      <c r="H7" s="10" t="s">
        <v>574</v>
      </c>
      <c r="I7"/>
    </row>
    <row r="8" spans="1:51" ht="18.75" customHeight="1" x14ac:dyDescent="0.25">
      <c r="A8" s="10">
        <v>5</v>
      </c>
      <c r="B8" s="3" t="s">
        <v>6</v>
      </c>
      <c r="C8" s="8"/>
      <c r="D8" s="8"/>
      <c r="E8" s="10">
        <v>2</v>
      </c>
      <c r="F8" s="10">
        <f t="shared" si="0"/>
        <v>13</v>
      </c>
      <c r="G8" s="10">
        <f t="shared" si="1"/>
        <v>14</v>
      </c>
      <c r="H8" s="22" t="s">
        <v>590</v>
      </c>
      <c r="I8"/>
    </row>
    <row r="9" spans="1:51" x14ac:dyDescent="0.25">
      <c r="A9" s="10">
        <v>6</v>
      </c>
      <c r="B9" s="3" t="s">
        <v>7</v>
      </c>
      <c r="C9" s="8">
        <v>1</v>
      </c>
      <c r="D9" s="8">
        <v>3</v>
      </c>
      <c r="E9" s="10">
        <v>1</v>
      </c>
      <c r="F9" s="10">
        <f t="shared" si="0"/>
        <v>15</v>
      </c>
      <c r="G9" s="10">
        <f t="shared" si="1"/>
        <v>15</v>
      </c>
      <c r="H9" s="10"/>
      <c r="I9"/>
    </row>
    <row r="10" spans="1:51" x14ac:dyDescent="0.25">
      <c r="A10" s="10">
        <v>7</v>
      </c>
      <c r="B10" s="3" t="s">
        <v>11</v>
      </c>
      <c r="C10" s="8">
        <v>0</v>
      </c>
      <c r="D10" s="8">
        <v>1</v>
      </c>
      <c r="E10" s="10">
        <v>2</v>
      </c>
      <c r="F10" s="10">
        <f t="shared" si="0"/>
        <v>16</v>
      </c>
      <c r="G10" s="10">
        <f t="shared" si="1"/>
        <v>17</v>
      </c>
      <c r="H10" s="10"/>
      <c r="I10"/>
    </row>
    <row r="11" spans="1:51" x14ac:dyDescent="0.25">
      <c r="A11" s="10">
        <v>8</v>
      </c>
      <c r="B11" s="11" t="s">
        <v>160</v>
      </c>
      <c r="C11" s="12">
        <v>1</v>
      </c>
      <c r="D11" s="12">
        <v>5</v>
      </c>
      <c r="E11" s="13">
        <v>2</v>
      </c>
      <c r="F11" s="10">
        <f t="shared" si="0"/>
        <v>18</v>
      </c>
      <c r="G11" s="10">
        <f t="shared" si="1"/>
        <v>19</v>
      </c>
      <c r="H11" s="10"/>
      <c r="I11"/>
    </row>
    <row r="12" spans="1:51" x14ac:dyDescent="0.25">
      <c r="A12" s="10">
        <v>9</v>
      </c>
      <c r="B12" s="11" t="s">
        <v>31</v>
      </c>
      <c r="C12" s="12">
        <v>1</v>
      </c>
      <c r="D12" s="12">
        <v>4</v>
      </c>
      <c r="E12" s="13">
        <v>3</v>
      </c>
      <c r="F12" s="10">
        <f t="shared" si="0"/>
        <v>20</v>
      </c>
      <c r="G12" s="10">
        <f t="shared" si="1"/>
        <v>22</v>
      </c>
      <c r="H12" s="10"/>
      <c r="I12"/>
    </row>
    <row r="13" spans="1:51" x14ac:dyDescent="0.25">
      <c r="A13" s="10">
        <v>10</v>
      </c>
      <c r="B13" s="11" t="s">
        <v>585</v>
      </c>
      <c r="C13" s="12"/>
      <c r="D13" s="12"/>
      <c r="E13" s="13">
        <v>4</v>
      </c>
      <c r="F13" s="10">
        <f t="shared" si="0"/>
        <v>23</v>
      </c>
      <c r="G13" s="10">
        <f t="shared" si="1"/>
        <v>26</v>
      </c>
      <c r="H13" s="10"/>
      <c r="I13"/>
    </row>
    <row r="14" spans="1:51" x14ac:dyDescent="0.25">
      <c r="A14" s="10">
        <v>11</v>
      </c>
      <c r="B14" s="3" t="s">
        <v>12</v>
      </c>
      <c r="C14" s="8">
        <v>1</v>
      </c>
      <c r="D14" s="8">
        <v>6</v>
      </c>
      <c r="E14" s="10">
        <v>3</v>
      </c>
      <c r="F14" s="10">
        <f t="shared" si="0"/>
        <v>27</v>
      </c>
      <c r="G14" s="10">
        <f t="shared" si="1"/>
        <v>29</v>
      </c>
      <c r="H14" s="10"/>
      <c r="I14"/>
    </row>
    <row r="15" spans="1:51" x14ac:dyDescent="0.25">
      <c r="A15" s="10">
        <v>12</v>
      </c>
      <c r="B15" s="3" t="s">
        <v>578</v>
      </c>
      <c r="C15" s="8"/>
      <c r="D15" s="8"/>
      <c r="E15" s="10">
        <v>1</v>
      </c>
      <c r="F15" s="10">
        <f t="shared" si="0"/>
        <v>30</v>
      </c>
      <c r="G15" s="10">
        <f t="shared" si="1"/>
        <v>30</v>
      </c>
      <c r="H15" s="10"/>
      <c r="I15"/>
    </row>
    <row r="16" spans="1:51" x14ac:dyDescent="0.25">
      <c r="A16" s="10">
        <v>13</v>
      </c>
      <c r="B16" s="3" t="s">
        <v>13</v>
      </c>
      <c r="C16" s="8">
        <v>1</v>
      </c>
      <c r="D16" s="8">
        <v>7</v>
      </c>
      <c r="E16" s="10">
        <v>2</v>
      </c>
      <c r="F16" s="10">
        <f t="shared" si="0"/>
        <v>31</v>
      </c>
      <c r="G16" s="10">
        <f t="shared" si="1"/>
        <v>32</v>
      </c>
      <c r="H16" s="10"/>
      <c r="I16"/>
    </row>
    <row r="17" spans="1:51" x14ac:dyDescent="0.25">
      <c r="A17" s="10">
        <v>14</v>
      </c>
      <c r="B17" s="3" t="s">
        <v>15</v>
      </c>
      <c r="C17" s="6">
        <v>1</v>
      </c>
      <c r="D17" s="6">
        <v>12</v>
      </c>
      <c r="E17" s="10">
        <v>4</v>
      </c>
      <c r="F17" s="10">
        <f t="shared" si="0"/>
        <v>33</v>
      </c>
      <c r="G17" s="10">
        <f t="shared" si="1"/>
        <v>36</v>
      </c>
      <c r="H17" s="10"/>
      <c r="I17"/>
    </row>
    <row r="18" spans="1:51" x14ac:dyDescent="0.25">
      <c r="A18" s="10">
        <v>15</v>
      </c>
      <c r="B18" s="3" t="s">
        <v>151</v>
      </c>
      <c r="C18" s="8">
        <v>1</v>
      </c>
      <c r="D18" s="8">
        <v>1</v>
      </c>
      <c r="E18" s="10">
        <v>5</v>
      </c>
      <c r="F18" s="10">
        <f t="shared" si="0"/>
        <v>37</v>
      </c>
      <c r="G18" s="10">
        <f t="shared" si="1"/>
        <v>41</v>
      </c>
      <c r="H18" s="10"/>
      <c r="I18"/>
    </row>
    <row r="19" spans="1:51" x14ac:dyDescent="0.25">
      <c r="A19" s="10">
        <v>16</v>
      </c>
      <c r="B19" s="3" t="s">
        <v>9</v>
      </c>
      <c r="C19" s="8">
        <v>1</v>
      </c>
      <c r="D19" s="8">
        <v>15</v>
      </c>
      <c r="E19" s="10">
        <v>1</v>
      </c>
      <c r="F19" s="10">
        <f t="shared" si="0"/>
        <v>42</v>
      </c>
      <c r="G19" s="10">
        <f t="shared" si="1"/>
        <v>42</v>
      </c>
      <c r="H19" s="10"/>
      <c r="I19"/>
    </row>
    <row r="20" spans="1:51" x14ac:dyDescent="0.25">
      <c r="A20" s="10">
        <v>17</v>
      </c>
      <c r="B20" s="3" t="s">
        <v>10</v>
      </c>
      <c r="C20" s="8">
        <v>1</v>
      </c>
      <c r="D20" s="8">
        <v>16</v>
      </c>
      <c r="E20" s="10">
        <v>2</v>
      </c>
      <c r="F20" s="10">
        <f t="shared" si="0"/>
        <v>43</v>
      </c>
      <c r="G20" s="10">
        <f t="shared" si="1"/>
        <v>44</v>
      </c>
      <c r="H20" s="10"/>
      <c r="I20"/>
    </row>
    <row r="21" spans="1:51" x14ac:dyDescent="0.25">
      <c r="A21" s="10">
        <v>18</v>
      </c>
      <c r="B21" s="3" t="s">
        <v>24</v>
      </c>
      <c r="C21" s="8">
        <v>1</v>
      </c>
      <c r="D21" s="8">
        <v>10</v>
      </c>
      <c r="E21" s="10">
        <v>2</v>
      </c>
      <c r="F21" s="10">
        <f t="shared" si="0"/>
        <v>45</v>
      </c>
      <c r="G21" s="10">
        <f t="shared" si="1"/>
        <v>46</v>
      </c>
      <c r="H21" s="10"/>
      <c r="I21"/>
    </row>
    <row r="22" spans="1:51" x14ac:dyDescent="0.25">
      <c r="A22" s="10">
        <v>19</v>
      </c>
      <c r="B22" s="3" t="s">
        <v>25</v>
      </c>
      <c r="C22" s="8">
        <v>1</v>
      </c>
      <c r="D22" s="8">
        <v>18</v>
      </c>
      <c r="E22" s="10">
        <v>1</v>
      </c>
      <c r="F22" s="10">
        <f t="shared" si="0"/>
        <v>47</v>
      </c>
      <c r="G22" s="10">
        <f t="shared" si="1"/>
        <v>47</v>
      </c>
      <c r="H22" s="10"/>
      <c r="I22"/>
    </row>
    <row r="23" spans="1:51" x14ac:dyDescent="0.25">
      <c r="A23" s="10">
        <v>20</v>
      </c>
      <c r="B23" s="3" t="s">
        <v>16</v>
      </c>
      <c r="C23" s="8">
        <v>1</v>
      </c>
      <c r="D23" s="8">
        <v>19</v>
      </c>
      <c r="E23" s="10">
        <v>1</v>
      </c>
      <c r="F23" s="10">
        <f t="shared" si="0"/>
        <v>48</v>
      </c>
      <c r="G23" s="10">
        <f t="shared" si="1"/>
        <v>48</v>
      </c>
      <c r="H23" s="10"/>
      <c r="I23"/>
    </row>
    <row r="24" spans="1:51" x14ac:dyDescent="0.25">
      <c r="A24" s="10">
        <v>21</v>
      </c>
      <c r="B24" s="3" t="s">
        <v>27</v>
      </c>
      <c r="C24" s="8">
        <v>1</v>
      </c>
      <c r="D24" s="8">
        <v>20</v>
      </c>
      <c r="E24" s="10">
        <v>1</v>
      </c>
      <c r="F24" s="10">
        <f t="shared" si="0"/>
        <v>49</v>
      </c>
      <c r="G24" s="10">
        <f t="shared" si="1"/>
        <v>49</v>
      </c>
      <c r="H24" s="10"/>
      <c r="I24"/>
    </row>
    <row r="25" spans="1:51" x14ac:dyDescent="0.25">
      <c r="A25" s="10">
        <v>22</v>
      </c>
      <c r="B25" s="3" t="s">
        <v>18</v>
      </c>
      <c r="C25" s="8">
        <v>3</v>
      </c>
      <c r="D25" s="8">
        <v>1</v>
      </c>
      <c r="E25" s="10">
        <v>2</v>
      </c>
      <c r="F25" s="10">
        <f t="shared" si="0"/>
        <v>50</v>
      </c>
      <c r="G25" s="10">
        <f t="shared" si="1"/>
        <v>51</v>
      </c>
      <c r="H25" s="10"/>
      <c r="I25"/>
    </row>
    <row r="26" spans="1:51" x14ac:dyDescent="0.25">
      <c r="A26" s="10">
        <v>23</v>
      </c>
      <c r="B26" s="3" t="s">
        <v>19</v>
      </c>
      <c r="C26" s="8">
        <v>3</v>
      </c>
      <c r="D26" s="8">
        <v>2</v>
      </c>
      <c r="E26" s="10">
        <v>1</v>
      </c>
      <c r="F26" s="10">
        <f t="shared" si="0"/>
        <v>52</v>
      </c>
      <c r="G26" s="10">
        <f t="shared" si="1"/>
        <v>52</v>
      </c>
      <c r="H26" s="10"/>
      <c r="I26"/>
    </row>
    <row r="27" spans="1:51" x14ac:dyDescent="0.25">
      <c r="A27" s="10">
        <v>24</v>
      </c>
      <c r="B27" s="3" t="s">
        <v>20</v>
      </c>
      <c r="C27" s="8">
        <v>3</v>
      </c>
      <c r="D27" s="8">
        <v>3</v>
      </c>
      <c r="E27" s="10">
        <v>1</v>
      </c>
      <c r="F27" s="10">
        <f t="shared" si="0"/>
        <v>53</v>
      </c>
      <c r="G27" s="10">
        <f t="shared" si="1"/>
        <v>53</v>
      </c>
      <c r="H27" s="10"/>
      <c r="I27"/>
    </row>
    <row r="28" spans="1:51" x14ac:dyDescent="0.25">
      <c r="A28" s="10">
        <v>25</v>
      </c>
      <c r="B28" s="3" t="s">
        <v>21</v>
      </c>
      <c r="C28" s="8">
        <v>3</v>
      </c>
      <c r="D28" s="8">
        <v>4</v>
      </c>
      <c r="E28" s="10">
        <v>1</v>
      </c>
      <c r="F28" s="10">
        <f t="shared" si="0"/>
        <v>54</v>
      </c>
      <c r="G28" s="10">
        <f t="shared" si="1"/>
        <v>54</v>
      </c>
      <c r="H28" s="10"/>
      <c r="I28"/>
    </row>
    <row r="29" spans="1:51" ht="36" customHeight="1" x14ac:dyDescent="0.25">
      <c r="A29" s="10">
        <v>26</v>
      </c>
      <c r="B29" s="7" t="s">
        <v>161</v>
      </c>
      <c r="C29" s="8">
        <v>3</v>
      </c>
      <c r="D29" s="8">
        <v>5.0999999999999996</v>
      </c>
      <c r="E29" s="6">
        <v>10</v>
      </c>
      <c r="F29" s="10">
        <f t="shared" si="0"/>
        <v>55</v>
      </c>
      <c r="G29" s="10">
        <f t="shared" si="1"/>
        <v>64</v>
      </c>
      <c r="H29" s="6"/>
      <c r="I29"/>
    </row>
    <row r="30" spans="1:51" s="10" customFormat="1" ht="31.5" x14ac:dyDescent="0.25">
      <c r="A30" s="10">
        <v>27</v>
      </c>
      <c r="B30" s="7" t="s">
        <v>162</v>
      </c>
      <c r="C30" s="8">
        <v>3</v>
      </c>
      <c r="D30" s="8">
        <v>5.2</v>
      </c>
      <c r="E30" s="6">
        <v>10</v>
      </c>
      <c r="F30" s="10">
        <f t="shared" si="0"/>
        <v>65</v>
      </c>
      <c r="G30" s="10">
        <f t="shared" si="1"/>
        <v>74</v>
      </c>
      <c r="H30" s="6"/>
      <c r="I30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</row>
    <row r="31" spans="1:51" ht="33.75" customHeight="1" x14ac:dyDescent="0.25">
      <c r="A31" s="10">
        <v>28</v>
      </c>
      <c r="B31" s="7" t="s">
        <v>163</v>
      </c>
      <c r="C31" s="8">
        <v>3</v>
      </c>
      <c r="D31" s="8">
        <v>5.3</v>
      </c>
      <c r="E31" s="6">
        <v>10</v>
      </c>
      <c r="F31" s="10">
        <f t="shared" si="0"/>
        <v>75</v>
      </c>
      <c r="G31" s="10">
        <f t="shared" si="1"/>
        <v>84</v>
      </c>
      <c r="H31" s="6"/>
      <c r="I31"/>
    </row>
    <row r="32" spans="1:51" ht="36" customHeight="1" x14ac:dyDescent="0.25">
      <c r="A32" s="10">
        <v>29</v>
      </c>
      <c r="B32" s="7" t="s">
        <v>164</v>
      </c>
      <c r="C32" s="8">
        <v>3</v>
      </c>
      <c r="D32" s="8">
        <v>5.4</v>
      </c>
      <c r="E32" s="6">
        <v>10</v>
      </c>
      <c r="F32" s="10">
        <f t="shared" si="0"/>
        <v>85</v>
      </c>
      <c r="G32" s="10">
        <f t="shared" si="1"/>
        <v>94</v>
      </c>
      <c r="H32" s="6"/>
      <c r="I32"/>
    </row>
    <row r="33" spans="1:9" ht="33.75" customHeight="1" x14ac:dyDescent="0.25">
      <c r="A33" s="10">
        <v>30</v>
      </c>
      <c r="B33" s="7" t="s">
        <v>165</v>
      </c>
      <c r="C33" s="8">
        <v>3</v>
      </c>
      <c r="D33" s="8">
        <v>5.5</v>
      </c>
      <c r="E33" s="6">
        <v>10</v>
      </c>
      <c r="F33" s="10">
        <f t="shared" si="0"/>
        <v>95</v>
      </c>
      <c r="G33" s="10">
        <f t="shared" si="1"/>
        <v>104</v>
      </c>
      <c r="H33" s="6"/>
      <c r="I33"/>
    </row>
    <row r="34" spans="1:9" ht="20.25" customHeight="1" x14ac:dyDescent="0.25">
      <c r="A34" s="10">
        <v>31</v>
      </c>
      <c r="B34" s="27" t="s">
        <v>22</v>
      </c>
      <c r="C34" s="12">
        <v>3</v>
      </c>
      <c r="D34" s="12">
        <v>5.6</v>
      </c>
      <c r="E34" s="26">
        <v>10</v>
      </c>
      <c r="F34" s="10">
        <f t="shared" si="0"/>
        <v>105</v>
      </c>
      <c r="G34" s="10">
        <f t="shared" si="1"/>
        <v>114</v>
      </c>
      <c r="H34" s="6"/>
      <c r="I34"/>
    </row>
    <row r="35" spans="1:9" ht="20.25" customHeight="1" x14ac:dyDescent="0.25">
      <c r="A35" s="10">
        <v>32</v>
      </c>
      <c r="B35" s="27" t="s">
        <v>526</v>
      </c>
      <c r="C35" s="12">
        <v>3</v>
      </c>
      <c r="D35" s="12">
        <v>6.1</v>
      </c>
      <c r="E35" s="26">
        <v>2</v>
      </c>
      <c r="F35" s="10">
        <f t="shared" si="0"/>
        <v>115</v>
      </c>
      <c r="G35" s="10">
        <f t="shared" si="1"/>
        <v>116</v>
      </c>
      <c r="H35" s="6"/>
      <c r="I35"/>
    </row>
    <row r="36" spans="1:9" ht="20.25" customHeight="1" x14ac:dyDescent="0.25">
      <c r="A36" s="10">
        <v>33</v>
      </c>
      <c r="B36" s="27" t="s">
        <v>533</v>
      </c>
      <c r="C36" s="12">
        <v>3</v>
      </c>
      <c r="D36" s="12">
        <v>6.2</v>
      </c>
      <c r="E36" s="26">
        <v>2</v>
      </c>
      <c r="F36" s="10">
        <f t="shared" si="0"/>
        <v>117</v>
      </c>
      <c r="G36" s="10">
        <f t="shared" si="1"/>
        <v>118</v>
      </c>
      <c r="H36" s="6"/>
      <c r="I36"/>
    </row>
    <row r="37" spans="1:9" ht="20.25" customHeight="1" x14ac:dyDescent="0.25">
      <c r="A37" s="10">
        <v>34</v>
      </c>
      <c r="B37" s="27" t="s">
        <v>569</v>
      </c>
      <c r="C37" s="12">
        <v>3</v>
      </c>
      <c r="D37" s="12">
        <v>7.1</v>
      </c>
      <c r="E37" s="26">
        <v>10</v>
      </c>
      <c r="F37" s="10">
        <f t="shared" si="0"/>
        <v>119</v>
      </c>
      <c r="G37" s="10">
        <f t="shared" si="1"/>
        <v>128</v>
      </c>
      <c r="H37" s="6"/>
      <c r="I37"/>
    </row>
    <row r="38" spans="1:9" ht="20.25" customHeight="1" x14ac:dyDescent="0.25">
      <c r="A38" s="10">
        <v>35</v>
      </c>
      <c r="B38" s="27" t="s">
        <v>570</v>
      </c>
      <c r="C38" s="12">
        <v>3</v>
      </c>
      <c r="D38" s="12">
        <v>7.2</v>
      </c>
      <c r="E38" s="26">
        <v>10</v>
      </c>
      <c r="F38" s="10">
        <f t="shared" si="0"/>
        <v>129</v>
      </c>
      <c r="G38" s="10">
        <f t="shared" si="1"/>
        <v>138</v>
      </c>
      <c r="H38" s="6"/>
      <c r="I38"/>
    </row>
    <row r="39" spans="1:9" ht="20.25" customHeight="1" x14ac:dyDescent="0.25">
      <c r="A39" s="10">
        <v>36</v>
      </c>
      <c r="B39" s="27" t="s">
        <v>571</v>
      </c>
      <c r="C39" s="12">
        <v>3</v>
      </c>
      <c r="D39" s="12">
        <v>7.3</v>
      </c>
      <c r="E39" s="26">
        <v>10</v>
      </c>
      <c r="F39" s="10">
        <f t="shared" si="0"/>
        <v>139</v>
      </c>
      <c r="G39" s="10">
        <f t="shared" si="1"/>
        <v>148</v>
      </c>
      <c r="H39" s="6"/>
      <c r="I39"/>
    </row>
    <row r="40" spans="1:9" ht="20.25" customHeight="1" x14ac:dyDescent="0.25">
      <c r="A40" s="10">
        <v>37</v>
      </c>
      <c r="B40" s="27" t="s">
        <v>572</v>
      </c>
      <c r="C40" s="12">
        <v>3</v>
      </c>
      <c r="D40" s="12">
        <v>7.4</v>
      </c>
      <c r="E40" s="26">
        <v>10</v>
      </c>
      <c r="F40" s="10">
        <f t="shared" si="0"/>
        <v>149</v>
      </c>
      <c r="G40" s="10">
        <f t="shared" si="1"/>
        <v>158</v>
      </c>
      <c r="H40" s="6"/>
      <c r="I40"/>
    </row>
    <row r="41" spans="1:9" ht="20.25" customHeight="1" x14ac:dyDescent="0.25">
      <c r="A41" s="10">
        <v>38</v>
      </c>
      <c r="B41" s="27" t="s">
        <v>573</v>
      </c>
      <c r="C41" s="12">
        <v>3</v>
      </c>
      <c r="D41" s="12">
        <v>7.5</v>
      </c>
      <c r="E41" s="26">
        <v>10</v>
      </c>
      <c r="F41" s="10">
        <f t="shared" si="0"/>
        <v>159</v>
      </c>
      <c r="G41" s="10">
        <f t="shared" si="1"/>
        <v>168</v>
      </c>
      <c r="H41" s="6"/>
      <c r="I41"/>
    </row>
    <row r="42" spans="1:9" x14ac:dyDescent="0.25">
      <c r="A42" s="10">
        <v>39</v>
      </c>
      <c r="B42" s="11" t="s">
        <v>26</v>
      </c>
      <c r="C42" s="12">
        <v>1</v>
      </c>
      <c r="D42" s="12">
        <v>17</v>
      </c>
      <c r="E42" s="13">
        <v>2</v>
      </c>
      <c r="F42" s="10">
        <f t="shared" si="0"/>
        <v>169</v>
      </c>
      <c r="G42" s="10">
        <f t="shared" si="1"/>
        <v>170</v>
      </c>
      <c r="H42" s="10"/>
      <c r="I42"/>
    </row>
    <row r="43" spans="1:9" ht="15" customHeight="1" x14ac:dyDescent="0.25">
      <c r="A43" s="10">
        <v>40</v>
      </c>
      <c r="B43" s="11" t="s">
        <v>28</v>
      </c>
      <c r="C43" s="12">
        <v>2</v>
      </c>
      <c r="D43" s="12" t="s">
        <v>29</v>
      </c>
      <c r="E43" s="13">
        <v>10</v>
      </c>
      <c r="F43" s="10">
        <f t="shared" si="0"/>
        <v>171</v>
      </c>
      <c r="G43" s="10">
        <f t="shared" si="1"/>
        <v>180</v>
      </c>
      <c r="H43" s="10"/>
      <c r="I43"/>
    </row>
    <row r="44" spans="1:9" x14ac:dyDescent="0.25">
      <c r="A44" s="10">
        <v>41</v>
      </c>
      <c r="B44" s="11" t="s">
        <v>17</v>
      </c>
      <c r="C44" s="12">
        <v>2</v>
      </c>
      <c r="D44" s="12">
        <v>4</v>
      </c>
      <c r="E44" s="13">
        <v>4</v>
      </c>
      <c r="F44" s="10">
        <f t="shared" ref="F44:F50" si="2">G43+1</f>
        <v>181</v>
      </c>
      <c r="G44" s="10">
        <f t="shared" ref="G44:G50" si="3">G43+E44</f>
        <v>184</v>
      </c>
      <c r="H44" s="10"/>
      <c r="I44"/>
    </row>
    <row r="45" spans="1:9" ht="21.75" customHeight="1" x14ac:dyDescent="0.25">
      <c r="A45" s="10">
        <v>42</v>
      </c>
      <c r="B45" s="27" t="s">
        <v>594</v>
      </c>
      <c r="C45" s="27"/>
      <c r="D45" s="36"/>
      <c r="E45" s="13">
        <v>3</v>
      </c>
      <c r="F45" s="10">
        <f t="shared" si="2"/>
        <v>185</v>
      </c>
      <c r="G45" s="10">
        <f t="shared" si="3"/>
        <v>187</v>
      </c>
      <c r="H45" s="10"/>
      <c r="I45"/>
    </row>
    <row r="46" spans="1:9" x14ac:dyDescent="0.25">
      <c r="A46" s="10">
        <v>44</v>
      </c>
      <c r="B46" s="27" t="s">
        <v>560</v>
      </c>
      <c r="C46" s="27"/>
      <c r="D46" s="36"/>
      <c r="E46" s="13">
        <v>10</v>
      </c>
      <c r="F46" s="10">
        <f t="shared" si="2"/>
        <v>188</v>
      </c>
      <c r="G46" s="10">
        <f t="shared" si="3"/>
        <v>197</v>
      </c>
      <c r="H46" s="10"/>
      <c r="I46"/>
    </row>
    <row r="47" spans="1:9" ht="21.75" customHeight="1" x14ac:dyDescent="0.25">
      <c r="A47" s="10">
        <v>43</v>
      </c>
      <c r="B47" s="27" t="s">
        <v>586</v>
      </c>
      <c r="C47" s="27"/>
      <c r="D47" s="36"/>
      <c r="E47" s="13">
        <v>3</v>
      </c>
      <c r="F47" s="10">
        <f t="shared" si="2"/>
        <v>198</v>
      </c>
      <c r="G47" s="10">
        <f t="shared" si="3"/>
        <v>200</v>
      </c>
      <c r="H47" s="10" t="s">
        <v>591</v>
      </c>
      <c r="I47"/>
    </row>
    <row r="48" spans="1:9" x14ac:dyDescent="0.25">
      <c r="A48" s="10">
        <v>45</v>
      </c>
      <c r="B48" s="27" t="s">
        <v>565</v>
      </c>
      <c r="C48" s="27"/>
      <c r="D48" s="36"/>
      <c r="E48" s="13">
        <v>10</v>
      </c>
      <c r="F48" s="10">
        <f t="shared" si="2"/>
        <v>201</v>
      </c>
      <c r="G48" s="10">
        <f t="shared" si="3"/>
        <v>210</v>
      </c>
      <c r="H48" s="10"/>
      <c r="I48"/>
    </row>
    <row r="49" spans="1:9" x14ac:dyDescent="0.25">
      <c r="A49" s="10">
        <v>46</v>
      </c>
      <c r="B49" s="27" t="s">
        <v>567</v>
      </c>
      <c r="C49" s="27"/>
      <c r="D49" s="37"/>
      <c r="E49" s="13">
        <v>4</v>
      </c>
      <c r="F49" s="10">
        <f t="shared" si="2"/>
        <v>211</v>
      </c>
      <c r="G49" s="10">
        <f t="shared" si="3"/>
        <v>214</v>
      </c>
      <c r="H49" s="10" t="s">
        <v>592</v>
      </c>
      <c r="I49"/>
    </row>
    <row r="50" spans="1:9" x14ac:dyDescent="0.25">
      <c r="A50" s="10">
        <v>47</v>
      </c>
      <c r="B50" s="27" t="s">
        <v>566</v>
      </c>
      <c r="C50" s="27"/>
      <c r="D50" s="46"/>
      <c r="E50" s="13">
        <v>2</v>
      </c>
      <c r="F50" s="10">
        <f t="shared" si="2"/>
        <v>215</v>
      </c>
      <c r="G50" s="10">
        <f t="shared" si="3"/>
        <v>216</v>
      </c>
      <c r="H50" s="10" t="s">
        <v>593</v>
      </c>
      <c r="I50"/>
    </row>
    <row r="51" spans="1:9" x14ac:dyDescent="0.25">
      <c r="A51" s="10">
        <v>47.7</v>
      </c>
      <c r="B51" s="1" t="s">
        <v>595</v>
      </c>
      <c r="C51" s="1"/>
      <c r="D51" s="1"/>
      <c r="E51" s="1">
        <v>2</v>
      </c>
      <c r="F51" s="10">
        <f t="shared" ref="F51" si="4">G50+1</f>
        <v>217</v>
      </c>
      <c r="G51" s="10">
        <f t="shared" ref="G51" si="5">G50+E51</f>
        <v>218</v>
      </c>
      <c r="H51" s="55" t="s">
        <v>597</v>
      </c>
      <c r="I51"/>
    </row>
    <row r="52" spans="1:9" x14ac:dyDescent="0.25">
      <c r="A52"/>
      <c r="I52"/>
    </row>
    <row r="53" spans="1:9" x14ac:dyDescent="0.25">
      <c r="A53"/>
    </row>
    <row r="54" spans="1:9" x14ac:dyDescent="0.25">
      <c r="A54" s="62" t="s">
        <v>588</v>
      </c>
      <c r="B54" s="62"/>
      <c r="C54" s="62"/>
      <c r="D54" s="62"/>
      <c r="E54" s="62"/>
      <c r="F54" s="62"/>
      <c r="G54" s="62"/>
      <c r="H54" s="62"/>
    </row>
    <row r="55" spans="1:9" x14ac:dyDescent="0.25">
      <c r="A55" s="61" t="s">
        <v>598</v>
      </c>
      <c r="B55" s="61"/>
      <c r="C55" s="61"/>
      <c r="D55" s="61"/>
      <c r="E55" s="61"/>
      <c r="F55" s="61"/>
      <c r="G55" s="61"/>
      <c r="H55" s="61"/>
    </row>
    <row r="56" spans="1:9" ht="31.5" x14ac:dyDescent="0.25">
      <c r="A56" s="16" t="s">
        <v>0</v>
      </c>
      <c r="B56" s="19" t="s">
        <v>1</v>
      </c>
      <c r="C56" s="20" t="s">
        <v>2</v>
      </c>
      <c r="D56" s="21" t="s">
        <v>159</v>
      </c>
      <c r="E56" s="21" t="s">
        <v>3</v>
      </c>
      <c r="F56" s="63" t="s">
        <v>4</v>
      </c>
      <c r="G56" s="64"/>
      <c r="H56" s="50" t="s">
        <v>149</v>
      </c>
    </row>
    <row r="57" spans="1:9" x14ac:dyDescent="0.25">
      <c r="A57" s="10">
        <v>1</v>
      </c>
      <c r="B57" s="3" t="s">
        <v>150</v>
      </c>
      <c r="C57" s="58"/>
      <c r="D57" s="59"/>
      <c r="E57" s="10">
        <v>5</v>
      </c>
      <c r="F57" s="10">
        <v>1</v>
      </c>
      <c r="G57" s="49">
        <f>E57</f>
        <v>5</v>
      </c>
      <c r="H57" s="51" t="s">
        <v>580</v>
      </c>
    </row>
    <row r="58" spans="1:9" x14ac:dyDescent="0.25">
      <c r="A58" s="10">
        <v>2</v>
      </c>
      <c r="B58" s="3" t="s">
        <v>23</v>
      </c>
      <c r="C58" s="23">
        <v>1</v>
      </c>
      <c r="D58" s="23">
        <v>2</v>
      </c>
      <c r="E58" s="10">
        <v>3</v>
      </c>
      <c r="F58" s="10">
        <f t="shared" ref="F58:F105" si="6">G57+1</f>
        <v>6</v>
      </c>
      <c r="G58" s="10">
        <f t="shared" ref="G58:G106" si="7">G57+E58</f>
        <v>8</v>
      </c>
      <c r="H58" s="51">
        <v>104</v>
      </c>
    </row>
    <row r="59" spans="1:9" x14ac:dyDescent="0.25">
      <c r="A59" s="10">
        <v>3</v>
      </c>
      <c r="B59" s="3" t="s">
        <v>5</v>
      </c>
      <c r="C59" s="23"/>
      <c r="D59" s="23"/>
      <c r="E59" s="10">
        <v>2</v>
      </c>
      <c r="F59" s="10">
        <f t="shared" si="6"/>
        <v>9</v>
      </c>
      <c r="G59" s="10">
        <f t="shared" si="7"/>
        <v>10</v>
      </c>
      <c r="H59" s="10" t="s">
        <v>178</v>
      </c>
    </row>
    <row r="60" spans="1:9" x14ac:dyDescent="0.25">
      <c r="A60" s="10">
        <v>4</v>
      </c>
      <c r="B60" s="3" t="s">
        <v>524</v>
      </c>
      <c r="C60" s="23"/>
      <c r="D60" s="23"/>
      <c r="E60" s="10">
        <v>2</v>
      </c>
      <c r="F60" s="10">
        <f t="shared" si="6"/>
        <v>11</v>
      </c>
      <c r="G60" s="10">
        <f t="shared" si="7"/>
        <v>12</v>
      </c>
      <c r="H60" s="10" t="s">
        <v>574</v>
      </c>
    </row>
    <row r="61" spans="1:9" x14ac:dyDescent="0.25">
      <c r="A61" s="10">
        <v>5</v>
      </c>
      <c r="B61" s="3" t="s">
        <v>6</v>
      </c>
      <c r="C61" s="23"/>
      <c r="D61" s="23"/>
      <c r="E61" s="10">
        <v>2</v>
      </c>
      <c r="F61" s="10">
        <f t="shared" si="6"/>
        <v>13</v>
      </c>
      <c r="G61" s="10">
        <f t="shared" si="7"/>
        <v>14</v>
      </c>
      <c r="H61" s="22" t="s">
        <v>590</v>
      </c>
    </row>
    <row r="62" spans="1:9" x14ac:dyDescent="0.25">
      <c r="A62" s="10">
        <v>6</v>
      </c>
      <c r="B62" s="3" t="s">
        <v>7</v>
      </c>
      <c r="C62" s="8">
        <v>1</v>
      </c>
      <c r="D62" s="8">
        <v>3</v>
      </c>
      <c r="E62" s="10">
        <v>1</v>
      </c>
      <c r="F62" s="10">
        <f t="shared" si="6"/>
        <v>15</v>
      </c>
      <c r="G62" s="10">
        <f t="shared" si="7"/>
        <v>15</v>
      </c>
      <c r="H62" s="10"/>
    </row>
    <row r="63" spans="1:9" x14ac:dyDescent="0.25">
      <c r="A63" s="10">
        <v>7</v>
      </c>
      <c r="B63" s="3" t="s">
        <v>11</v>
      </c>
      <c r="C63" s="8">
        <v>0</v>
      </c>
      <c r="D63" s="8">
        <v>1</v>
      </c>
      <c r="E63" s="10">
        <v>2</v>
      </c>
      <c r="F63" s="10">
        <f t="shared" si="6"/>
        <v>16</v>
      </c>
      <c r="G63" s="10">
        <f t="shared" si="7"/>
        <v>17</v>
      </c>
      <c r="H63" s="10"/>
    </row>
    <row r="64" spans="1:9" x14ac:dyDescent="0.25">
      <c r="A64" s="10">
        <v>8</v>
      </c>
      <c r="B64" s="11" t="s">
        <v>160</v>
      </c>
      <c r="C64" s="12">
        <v>1</v>
      </c>
      <c r="D64" s="12">
        <v>5</v>
      </c>
      <c r="E64" s="10">
        <v>2</v>
      </c>
      <c r="F64" s="10">
        <f t="shared" si="6"/>
        <v>18</v>
      </c>
      <c r="G64" s="10">
        <f t="shared" si="7"/>
        <v>19</v>
      </c>
      <c r="H64" s="10"/>
    </row>
    <row r="65" spans="1:8" x14ac:dyDescent="0.25">
      <c r="A65" s="10">
        <v>9</v>
      </c>
      <c r="B65" s="11" t="s">
        <v>31</v>
      </c>
      <c r="C65" s="12">
        <v>1</v>
      </c>
      <c r="D65" s="12">
        <v>4</v>
      </c>
      <c r="E65" s="10">
        <v>3</v>
      </c>
      <c r="F65" s="10">
        <f t="shared" si="6"/>
        <v>20</v>
      </c>
      <c r="G65" s="10">
        <f t="shared" si="7"/>
        <v>22</v>
      </c>
      <c r="H65" s="10"/>
    </row>
    <row r="66" spans="1:8" x14ac:dyDescent="0.25">
      <c r="A66" s="10">
        <v>10</v>
      </c>
      <c r="B66" s="11" t="s">
        <v>585</v>
      </c>
      <c r="C66" s="12"/>
      <c r="D66" s="12"/>
      <c r="E66" s="13">
        <v>4</v>
      </c>
      <c r="F66" s="10">
        <f t="shared" si="6"/>
        <v>23</v>
      </c>
      <c r="G66" s="10">
        <f t="shared" si="7"/>
        <v>26</v>
      </c>
      <c r="H66" s="10"/>
    </row>
    <row r="67" spans="1:8" x14ac:dyDescent="0.25">
      <c r="A67" s="10">
        <v>11</v>
      </c>
      <c r="B67" s="3" t="s">
        <v>12</v>
      </c>
      <c r="C67" s="8">
        <v>1</v>
      </c>
      <c r="D67" s="8">
        <v>6</v>
      </c>
      <c r="E67" s="10">
        <v>3</v>
      </c>
      <c r="F67" s="10">
        <f t="shared" si="6"/>
        <v>27</v>
      </c>
      <c r="G67" s="10">
        <f t="shared" si="7"/>
        <v>29</v>
      </c>
      <c r="H67" s="10"/>
    </row>
    <row r="68" spans="1:8" x14ac:dyDescent="0.25">
      <c r="A68" s="10">
        <v>12</v>
      </c>
      <c r="B68" s="3" t="s">
        <v>578</v>
      </c>
      <c r="C68" s="8"/>
      <c r="D68" s="8"/>
      <c r="E68" s="10">
        <v>1</v>
      </c>
      <c r="F68" s="10">
        <f t="shared" si="6"/>
        <v>30</v>
      </c>
      <c r="G68" s="10">
        <f t="shared" si="7"/>
        <v>30</v>
      </c>
      <c r="H68" s="10"/>
    </row>
    <row r="69" spans="1:8" x14ac:dyDescent="0.25">
      <c r="A69" s="10">
        <v>13</v>
      </c>
      <c r="B69" s="3" t="s">
        <v>13</v>
      </c>
      <c r="C69" s="10">
        <v>1</v>
      </c>
      <c r="D69" s="10">
        <v>7</v>
      </c>
      <c r="E69" s="10">
        <v>2</v>
      </c>
      <c r="F69" s="10">
        <f t="shared" si="6"/>
        <v>31</v>
      </c>
      <c r="G69" s="10">
        <f t="shared" si="7"/>
        <v>32</v>
      </c>
      <c r="H69" s="14"/>
    </row>
    <row r="70" spans="1:8" x14ac:dyDescent="0.25">
      <c r="A70" s="10">
        <v>14</v>
      </c>
      <c r="B70" s="3" t="s">
        <v>15</v>
      </c>
      <c r="C70" s="10">
        <v>1</v>
      </c>
      <c r="D70" s="10">
        <v>12</v>
      </c>
      <c r="E70" s="10">
        <v>4</v>
      </c>
      <c r="F70" s="10">
        <f t="shared" si="6"/>
        <v>33</v>
      </c>
      <c r="G70" s="10">
        <f t="shared" si="7"/>
        <v>36</v>
      </c>
    </row>
    <row r="71" spans="1:8" x14ac:dyDescent="0.25">
      <c r="A71" s="10">
        <v>15</v>
      </c>
      <c r="B71" s="3" t="s">
        <v>151</v>
      </c>
      <c r="C71" s="10">
        <v>1</v>
      </c>
      <c r="D71" s="10">
        <v>1</v>
      </c>
      <c r="E71" s="10">
        <v>5</v>
      </c>
      <c r="F71" s="10">
        <f t="shared" si="6"/>
        <v>37</v>
      </c>
      <c r="G71" s="10">
        <f t="shared" si="7"/>
        <v>41</v>
      </c>
      <c r="H71" s="10"/>
    </row>
    <row r="72" spans="1:8" x14ac:dyDescent="0.25">
      <c r="A72" s="10">
        <v>16</v>
      </c>
      <c r="B72" s="3" t="s">
        <v>9</v>
      </c>
      <c r="C72" s="10">
        <v>1</v>
      </c>
      <c r="D72" s="10">
        <v>15</v>
      </c>
      <c r="E72" s="10">
        <v>1</v>
      </c>
      <c r="F72" s="10">
        <f t="shared" si="6"/>
        <v>42</v>
      </c>
      <c r="G72" s="10">
        <f t="shared" si="7"/>
        <v>42</v>
      </c>
      <c r="H72" s="10"/>
    </row>
    <row r="73" spans="1:8" x14ac:dyDescent="0.25">
      <c r="A73" s="10">
        <v>17</v>
      </c>
      <c r="B73" s="3" t="s">
        <v>10</v>
      </c>
      <c r="C73" s="10">
        <v>1</v>
      </c>
      <c r="D73" s="10">
        <v>16</v>
      </c>
      <c r="E73" s="10">
        <v>2</v>
      </c>
      <c r="F73" s="10">
        <f t="shared" si="6"/>
        <v>43</v>
      </c>
      <c r="G73" s="10">
        <f t="shared" si="7"/>
        <v>44</v>
      </c>
      <c r="H73" s="10"/>
    </row>
    <row r="74" spans="1:8" x14ac:dyDescent="0.25">
      <c r="A74" s="10">
        <v>18</v>
      </c>
      <c r="B74" s="3" t="s">
        <v>32</v>
      </c>
      <c r="C74" s="10">
        <v>4</v>
      </c>
      <c r="D74" s="10">
        <v>1</v>
      </c>
      <c r="E74" s="10">
        <v>2</v>
      </c>
      <c r="F74" s="10">
        <f t="shared" si="6"/>
        <v>45</v>
      </c>
      <c r="G74" s="10">
        <f t="shared" si="7"/>
        <v>46</v>
      </c>
      <c r="H74" s="3"/>
    </row>
    <row r="75" spans="1:8" x14ac:dyDescent="0.25">
      <c r="A75" s="10">
        <v>19</v>
      </c>
      <c r="B75" s="3" t="s">
        <v>33</v>
      </c>
      <c r="C75" s="10">
        <v>4</v>
      </c>
      <c r="D75" s="10">
        <v>4</v>
      </c>
      <c r="E75" s="10">
        <v>1</v>
      </c>
      <c r="F75" s="10">
        <f t="shared" si="6"/>
        <v>47</v>
      </c>
      <c r="G75" s="10">
        <f t="shared" si="7"/>
        <v>47</v>
      </c>
      <c r="H75" s="10"/>
    </row>
    <row r="76" spans="1:8" x14ac:dyDescent="0.25">
      <c r="A76" s="10">
        <v>20</v>
      </c>
      <c r="B76" s="3" t="s">
        <v>179</v>
      </c>
      <c r="C76" s="10">
        <v>4</v>
      </c>
      <c r="D76" s="10">
        <v>5</v>
      </c>
      <c r="E76" s="10">
        <v>1</v>
      </c>
      <c r="F76" s="10">
        <f t="shared" si="6"/>
        <v>48</v>
      </c>
      <c r="G76" s="10">
        <f t="shared" si="7"/>
        <v>48</v>
      </c>
      <c r="H76" s="10"/>
    </row>
    <row r="77" spans="1:8" x14ac:dyDescent="0.25">
      <c r="A77" s="10">
        <v>21</v>
      </c>
      <c r="B77" s="3" t="s">
        <v>34</v>
      </c>
      <c r="C77" s="10">
        <v>4</v>
      </c>
      <c r="D77" s="10">
        <v>6</v>
      </c>
      <c r="E77" s="10">
        <v>3</v>
      </c>
      <c r="F77" s="10">
        <f t="shared" si="6"/>
        <v>49</v>
      </c>
      <c r="G77" s="10">
        <f t="shared" si="7"/>
        <v>51</v>
      </c>
      <c r="H77" s="10"/>
    </row>
    <row r="78" spans="1:8" x14ac:dyDescent="0.25">
      <c r="A78" s="10">
        <v>22</v>
      </c>
      <c r="B78" s="3" t="s">
        <v>35</v>
      </c>
      <c r="C78" s="10">
        <v>4</v>
      </c>
      <c r="D78" s="10">
        <v>7</v>
      </c>
      <c r="E78" s="10">
        <v>1</v>
      </c>
      <c r="F78" s="10">
        <f t="shared" si="6"/>
        <v>52</v>
      </c>
      <c r="G78" s="10">
        <f t="shared" si="7"/>
        <v>52</v>
      </c>
      <c r="H78" s="10"/>
    </row>
    <row r="79" spans="1:8" x14ac:dyDescent="0.25">
      <c r="A79" s="10">
        <v>23</v>
      </c>
      <c r="B79" s="3" t="s">
        <v>36</v>
      </c>
      <c r="C79" s="10">
        <v>4</v>
      </c>
      <c r="D79" s="10">
        <v>8</v>
      </c>
      <c r="E79" s="10">
        <v>2</v>
      </c>
      <c r="F79" s="10">
        <f t="shared" si="6"/>
        <v>53</v>
      </c>
      <c r="G79" s="10">
        <f t="shared" si="7"/>
        <v>54</v>
      </c>
      <c r="H79" s="10"/>
    </row>
    <row r="80" spans="1:8" x14ac:dyDescent="0.25">
      <c r="A80" s="10">
        <v>24</v>
      </c>
      <c r="B80" s="3" t="s">
        <v>37</v>
      </c>
      <c r="C80" s="10">
        <v>4</v>
      </c>
      <c r="D80" s="10">
        <v>9</v>
      </c>
      <c r="E80" s="10">
        <v>2</v>
      </c>
      <c r="F80" s="10">
        <f t="shared" si="6"/>
        <v>55</v>
      </c>
      <c r="G80" s="10">
        <f t="shared" si="7"/>
        <v>56</v>
      </c>
      <c r="H80" s="10"/>
    </row>
    <row r="81" spans="1:8" x14ac:dyDescent="0.25">
      <c r="A81" s="10">
        <v>25</v>
      </c>
      <c r="B81" s="3" t="s">
        <v>546</v>
      </c>
      <c r="C81" s="30">
        <v>4</v>
      </c>
      <c r="D81" s="30">
        <v>10</v>
      </c>
      <c r="E81" s="30">
        <v>2</v>
      </c>
      <c r="F81" s="10">
        <f t="shared" si="6"/>
        <v>57</v>
      </c>
      <c r="G81" s="10">
        <f t="shared" si="7"/>
        <v>58</v>
      </c>
      <c r="H81" s="10"/>
    </row>
    <row r="82" spans="1:8" x14ac:dyDescent="0.25">
      <c r="A82" s="10">
        <v>26</v>
      </c>
      <c r="B82" s="3" t="s">
        <v>547</v>
      </c>
      <c r="C82" s="30">
        <v>4</v>
      </c>
      <c r="D82" s="30">
        <v>11</v>
      </c>
      <c r="E82" s="30">
        <v>1</v>
      </c>
      <c r="F82" s="10">
        <f t="shared" si="6"/>
        <v>59</v>
      </c>
      <c r="G82" s="10">
        <f t="shared" si="7"/>
        <v>59</v>
      </c>
      <c r="H82" s="10"/>
    </row>
    <row r="83" spans="1:8" ht="31.5" x14ac:dyDescent="0.25">
      <c r="A83" s="10">
        <v>27</v>
      </c>
      <c r="B83" s="3" t="s">
        <v>548</v>
      </c>
      <c r="C83" s="30">
        <v>4</v>
      </c>
      <c r="D83" s="30">
        <v>12</v>
      </c>
      <c r="E83" s="30">
        <v>2</v>
      </c>
      <c r="F83" s="10">
        <f t="shared" si="6"/>
        <v>60</v>
      </c>
      <c r="G83" s="10">
        <f t="shared" si="7"/>
        <v>61</v>
      </c>
      <c r="H83" s="10"/>
    </row>
    <row r="84" spans="1:8" ht="31.5" x14ac:dyDescent="0.25">
      <c r="A84" s="10">
        <v>28</v>
      </c>
      <c r="B84" s="3" t="s">
        <v>549</v>
      </c>
      <c r="C84" s="30">
        <v>4</v>
      </c>
      <c r="D84" s="30">
        <v>13</v>
      </c>
      <c r="E84" s="30">
        <v>1</v>
      </c>
      <c r="F84" s="10">
        <f t="shared" si="6"/>
        <v>62</v>
      </c>
      <c r="G84" s="10">
        <f t="shared" si="7"/>
        <v>62</v>
      </c>
      <c r="H84" s="10"/>
    </row>
    <row r="85" spans="1:8" x14ac:dyDescent="0.25">
      <c r="A85" s="10">
        <v>29</v>
      </c>
      <c r="B85" s="3" t="s">
        <v>550</v>
      </c>
      <c r="C85" s="30">
        <v>4</v>
      </c>
      <c r="D85" s="30">
        <v>14</v>
      </c>
      <c r="E85" s="30">
        <v>2</v>
      </c>
      <c r="F85" s="10">
        <f t="shared" si="6"/>
        <v>63</v>
      </c>
      <c r="G85" s="10">
        <f t="shared" si="7"/>
        <v>64</v>
      </c>
      <c r="H85" s="10"/>
    </row>
    <row r="86" spans="1:8" x14ac:dyDescent="0.25">
      <c r="A86" s="10">
        <v>30</v>
      </c>
      <c r="B86" s="3" t="s">
        <v>39</v>
      </c>
      <c r="C86" s="30">
        <v>4</v>
      </c>
      <c r="D86" s="30">
        <v>15</v>
      </c>
      <c r="E86" s="30">
        <v>2</v>
      </c>
      <c r="F86" s="10">
        <f t="shared" si="6"/>
        <v>65</v>
      </c>
      <c r="G86" s="10">
        <f t="shared" si="7"/>
        <v>66</v>
      </c>
      <c r="H86" s="10" t="s">
        <v>583</v>
      </c>
    </row>
    <row r="87" spans="1:8" x14ac:dyDescent="0.25">
      <c r="A87" s="10">
        <v>31</v>
      </c>
      <c r="B87" s="3" t="s">
        <v>551</v>
      </c>
      <c r="C87" s="30">
        <v>4</v>
      </c>
      <c r="D87" s="30">
        <v>16</v>
      </c>
      <c r="E87" s="30">
        <v>2</v>
      </c>
      <c r="F87" s="10">
        <f t="shared" si="6"/>
        <v>67</v>
      </c>
      <c r="G87" s="10">
        <f t="shared" si="7"/>
        <v>68</v>
      </c>
      <c r="H87" s="10"/>
    </row>
    <row r="88" spans="1:8" x14ac:dyDescent="0.25">
      <c r="A88" s="10">
        <v>32</v>
      </c>
      <c r="B88" s="3" t="s">
        <v>40</v>
      </c>
      <c r="C88" s="30">
        <v>4</v>
      </c>
      <c r="D88" s="30">
        <v>17</v>
      </c>
      <c r="E88" s="30">
        <v>1</v>
      </c>
      <c r="F88" s="10">
        <f t="shared" si="6"/>
        <v>69</v>
      </c>
      <c r="G88" s="10">
        <f t="shared" si="7"/>
        <v>69</v>
      </c>
      <c r="H88" s="10"/>
    </row>
    <row r="89" spans="1:8" ht="47.25" x14ac:dyDescent="0.25">
      <c r="A89" s="10">
        <v>33</v>
      </c>
      <c r="B89" s="3" t="s">
        <v>552</v>
      </c>
      <c r="C89" s="30">
        <v>4</v>
      </c>
      <c r="D89" s="30">
        <v>18</v>
      </c>
      <c r="E89" s="30">
        <v>1</v>
      </c>
      <c r="F89" s="10">
        <f t="shared" si="6"/>
        <v>70</v>
      </c>
      <c r="G89" s="10">
        <f t="shared" si="7"/>
        <v>70</v>
      </c>
      <c r="H89" s="10" t="s">
        <v>584</v>
      </c>
    </row>
    <row r="90" spans="1:8" ht="31.5" x14ac:dyDescent="0.25">
      <c r="A90" s="10">
        <v>34</v>
      </c>
      <c r="B90" s="3" t="s">
        <v>553</v>
      </c>
      <c r="C90" s="30">
        <v>4</v>
      </c>
      <c r="D90" s="30">
        <v>19</v>
      </c>
      <c r="E90" s="30">
        <v>1</v>
      </c>
      <c r="F90" s="10">
        <f t="shared" si="6"/>
        <v>71</v>
      </c>
      <c r="G90" s="10">
        <f t="shared" si="7"/>
        <v>71</v>
      </c>
      <c r="H90" s="10" t="s">
        <v>584</v>
      </c>
    </row>
    <row r="91" spans="1:8" x14ac:dyDescent="0.25">
      <c r="A91" s="10">
        <v>35</v>
      </c>
      <c r="B91" s="3" t="s">
        <v>41</v>
      </c>
      <c r="C91" s="30">
        <v>4.0999999999999996</v>
      </c>
      <c r="D91" s="30">
        <v>3</v>
      </c>
      <c r="E91" s="30">
        <v>1</v>
      </c>
      <c r="F91" s="10">
        <f t="shared" si="6"/>
        <v>72</v>
      </c>
      <c r="G91" s="10">
        <f t="shared" si="7"/>
        <v>72</v>
      </c>
      <c r="H91" s="10" t="s">
        <v>582</v>
      </c>
    </row>
    <row r="92" spans="1:8" x14ac:dyDescent="0.25">
      <c r="A92" s="10">
        <v>36</v>
      </c>
      <c r="B92" s="3" t="s">
        <v>42</v>
      </c>
      <c r="C92" s="10">
        <v>4.0999999999999996</v>
      </c>
      <c r="D92" s="10">
        <v>4</v>
      </c>
      <c r="E92" s="10">
        <v>2</v>
      </c>
      <c r="F92" s="10">
        <f t="shared" si="6"/>
        <v>73</v>
      </c>
      <c r="G92" s="10">
        <f t="shared" si="7"/>
        <v>74</v>
      </c>
      <c r="H92" s="10"/>
    </row>
    <row r="93" spans="1:8" x14ac:dyDescent="0.25">
      <c r="A93" s="10">
        <v>37</v>
      </c>
      <c r="B93" s="3" t="s">
        <v>43</v>
      </c>
      <c r="C93" s="10">
        <v>4.0999999999999996</v>
      </c>
      <c r="D93" s="10">
        <v>5</v>
      </c>
      <c r="E93" s="10">
        <v>1</v>
      </c>
      <c r="F93" s="10">
        <f t="shared" si="6"/>
        <v>75</v>
      </c>
      <c r="G93" s="10">
        <f t="shared" si="7"/>
        <v>75</v>
      </c>
      <c r="H93" s="10"/>
    </row>
    <row r="94" spans="1:8" x14ac:dyDescent="0.25">
      <c r="A94" s="10">
        <v>38</v>
      </c>
      <c r="B94" s="3" t="s">
        <v>44</v>
      </c>
      <c r="C94" s="10">
        <v>4.0999999999999996</v>
      </c>
      <c r="D94" s="10">
        <v>6</v>
      </c>
      <c r="E94" s="10">
        <v>1</v>
      </c>
      <c r="F94" s="10">
        <f t="shared" si="6"/>
        <v>76</v>
      </c>
      <c r="G94" s="10">
        <f t="shared" si="7"/>
        <v>76</v>
      </c>
      <c r="H94" s="10"/>
    </row>
    <row r="95" spans="1:8" x14ac:dyDescent="0.25">
      <c r="A95" s="10">
        <v>39</v>
      </c>
      <c r="B95" s="3" t="s">
        <v>45</v>
      </c>
      <c r="C95" s="10">
        <v>4.0999999999999996</v>
      </c>
      <c r="D95" s="10">
        <v>7</v>
      </c>
      <c r="E95" s="10">
        <v>1</v>
      </c>
      <c r="F95" s="10">
        <f t="shared" si="6"/>
        <v>77</v>
      </c>
      <c r="G95" s="10">
        <f t="shared" si="7"/>
        <v>77</v>
      </c>
      <c r="H95" s="10"/>
    </row>
    <row r="96" spans="1:8" ht="31.5" x14ac:dyDescent="0.25">
      <c r="A96" s="10">
        <v>40</v>
      </c>
      <c r="B96" s="3" t="s">
        <v>587</v>
      </c>
      <c r="C96" s="10">
        <v>4.0999999999999996</v>
      </c>
      <c r="D96" s="10">
        <v>8</v>
      </c>
      <c r="E96" s="10">
        <v>1</v>
      </c>
      <c r="F96" s="10">
        <f t="shared" si="6"/>
        <v>78</v>
      </c>
      <c r="G96" s="10">
        <f t="shared" si="7"/>
        <v>78</v>
      </c>
      <c r="H96" s="10"/>
    </row>
    <row r="97" spans="1:8" x14ac:dyDescent="0.25">
      <c r="A97" s="10">
        <v>41</v>
      </c>
      <c r="B97" s="3" t="s">
        <v>46</v>
      </c>
      <c r="C97" s="10">
        <v>5.0999999999999996</v>
      </c>
      <c r="D97" s="10">
        <v>3</v>
      </c>
      <c r="E97" s="10">
        <v>2</v>
      </c>
      <c r="F97" s="10">
        <f t="shared" si="6"/>
        <v>79</v>
      </c>
      <c r="G97" s="10">
        <f t="shared" si="7"/>
        <v>80</v>
      </c>
      <c r="H97" s="10"/>
    </row>
    <row r="98" spans="1:8" x14ac:dyDescent="0.25">
      <c r="A98" s="10">
        <v>42</v>
      </c>
      <c r="B98" s="3" t="s">
        <v>155</v>
      </c>
      <c r="C98" s="10">
        <v>5.0999999999999996</v>
      </c>
      <c r="D98" s="10">
        <v>5</v>
      </c>
      <c r="E98" s="10">
        <v>5</v>
      </c>
      <c r="F98" s="10">
        <f t="shared" si="6"/>
        <v>81</v>
      </c>
      <c r="G98" s="10">
        <f t="shared" si="7"/>
        <v>85</v>
      </c>
      <c r="H98" s="10"/>
    </row>
    <row r="99" spans="1:8" x14ac:dyDescent="0.25">
      <c r="A99" s="10">
        <v>43</v>
      </c>
      <c r="B99" s="3" t="s">
        <v>156</v>
      </c>
      <c r="C99" s="10">
        <v>5.0999999999999996</v>
      </c>
      <c r="D99" s="10">
        <v>6</v>
      </c>
      <c r="E99" s="10">
        <v>3</v>
      </c>
      <c r="F99" s="10">
        <f t="shared" si="6"/>
        <v>86</v>
      </c>
      <c r="G99" s="10">
        <f t="shared" si="7"/>
        <v>88</v>
      </c>
      <c r="H99" s="10"/>
    </row>
    <row r="100" spans="1:8" x14ac:dyDescent="0.25">
      <c r="A100" s="10">
        <v>44</v>
      </c>
      <c r="B100" s="3" t="s">
        <v>47</v>
      </c>
      <c r="C100" s="10">
        <v>5.0999999999999996</v>
      </c>
      <c r="D100" s="10">
        <v>7</v>
      </c>
      <c r="E100" s="10">
        <v>1</v>
      </c>
      <c r="F100" s="10">
        <f t="shared" si="6"/>
        <v>89</v>
      </c>
      <c r="G100" s="10">
        <f t="shared" si="7"/>
        <v>89</v>
      </c>
      <c r="H100" s="10"/>
    </row>
    <row r="101" spans="1:8" x14ac:dyDescent="0.25">
      <c r="A101" s="10">
        <v>45</v>
      </c>
      <c r="B101" s="3" t="s">
        <v>49</v>
      </c>
      <c r="C101" s="10">
        <v>5.0999999999999996</v>
      </c>
      <c r="D101" s="10">
        <v>8</v>
      </c>
      <c r="E101" s="10">
        <v>2</v>
      </c>
      <c r="F101" s="10">
        <f t="shared" si="6"/>
        <v>90</v>
      </c>
      <c r="G101" s="10">
        <f t="shared" si="7"/>
        <v>91</v>
      </c>
      <c r="H101" s="10"/>
    </row>
    <row r="102" spans="1:8" x14ac:dyDescent="0.25">
      <c r="A102" s="10">
        <v>46</v>
      </c>
      <c r="B102" s="3" t="s">
        <v>50</v>
      </c>
      <c r="C102" s="10">
        <v>5.0999999999999996</v>
      </c>
      <c r="D102" s="10">
        <v>9</v>
      </c>
      <c r="E102" s="10">
        <v>2</v>
      </c>
      <c r="F102" s="10">
        <f t="shared" si="6"/>
        <v>92</v>
      </c>
      <c r="G102" s="10">
        <f t="shared" si="7"/>
        <v>93</v>
      </c>
      <c r="H102" s="10"/>
    </row>
    <row r="103" spans="1:8" x14ac:dyDescent="0.25">
      <c r="A103" s="10">
        <v>47</v>
      </c>
      <c r="B103" s="3" t="s">
        <v>51</v>
      </c>
      <c r="C103" s="10">
        <v>5.0999999999999996</v>
      </c>
      <c r="D103" s="10">
        <v>10</v>
      </c>
      <c r="E103" s="10">
        <v>1</v>
      </c>
      <c r="F103" s="10">
        <f t="shared" si="6"/>
        <v>94</v>
      </c>
      <c r="G103" s="10">
        <f t="shared" si="7"/>
        <v>94</v>
      </c>
      <c r="H103" s="10"/>
    </row>
    <row r="104" spans="1:8" x14ac:dyDescent="0.25">
      <c r="A104" s="10">
        <v>48</v>
      </c>
      <c r="B104" s="3" t="s">
        <v>52</v>
      </c>
      <c r="C104" s="10">
        <v>5.0999999999999996</v>
      </c>
      <c r="D104" s="10">
        <v>11</v>
      </c>
      <c r="E104" s="10">
        <v>1</v>
      </c>
      <c r="F104" s="10">
        <f t="shared" si="6"/>
        <v>95</v>
      </c>
      <c r="G104" s="10">
        <f t="shared" si="7"/>
        <v>95</v>
      </c>
      <c r="H104" s="10"/>
    </row>
    <row r="105" spans="1:8" x14ac:dyDescent="0.25">
      <c r="A105" s="10">
        <v>49</v>
      </c>
      <c r="B105" s="3" t="s">
        <v>53</v>
      </c>
      <c r="C105" s="10">
        <v>5.0999999999999996</v>
      </c>
      <c r="D105" s="10">
        <v>12</v>
      </c>
      <c r="E105" s="10">
        <v>1</v>
      </c>
      <c r="F105" s="10">
        <f t="shared" si="6"/>
        <v>96</v>
      </c>
      <c r="G105" s="10">
        <f t="shared" si="7"/>
        <v>96</v>
      </c>
      <c r="H105" s="10"/>
    </row>
    <row r="106" spans="1:8" x14ac:dyDescent="0.25">
      <c r="A106" s="10">
        <v>50</v>
      </c>
      <c r="B106" s="3" t="s">
        <v>54</v>
      </c>
      <c r="C106" s="10">
        <v>5.0999999999999996</v>
      </c>
      <c r="D106" s="10">
        <v>13</v>
      </c>
      <c r="E106" s="10">
        <v>1</v>
      </c>
      <c r="F106" s="10">
        <f t="shared" ref="F106:F169" si="8">G105+1</f>
        <v>97</v>
      </c>
      <c r="G106" s="10">
        <f t="shared" si="7"/>
        <v>97</v>
      </c>
      <c r="H106" s="10"/>
    </row>
    <row r="107" spans="1:8" x14ac:dyDescent="0.25">
      <c r="A107" s="10">
        <v>51</v>
      </c>
      <c r="B107" s="3" t="s">
        <v>166</v>
      </c>
      <c r="C107" s="10">
        <v>5.0999999999999996</v>
      </c>
      <c r="D107" s="10">
        <v>14</v>
      </c>
      <c r="E107" s="10">
        <v>1</v>
      </c>
      <c r="F107" s="10">
        <f t="shared" si="8"/>
        <v>98</v>
      </c>
      <c r="G107" s="10">
        <f t="shared" ref="G107:G170" si="9">G106+E107</f>
        <v>98</v>
      </c>
      <c r="H107" s="10"/>
    </row>
    <row r="108" spans="1:8" x14ac:dyDescent="0.25">
      <c r="A108" s="10">
        <v>52</v>
      </c>
      <c r="B108" s="3" t="s">
        <v>46</v>
      </c>
      <c r="C108" s="10">
        <v>5.2</v>
      </c>
      <c r="D108" s="10">
        <v>3</v>
      </c>
      <c r="E108" s="10">
        <v>2</v>
      </c>
      <c r="F108" s="10">
        <f t="shared" si="8"/>
        <v>99</v>
      </c>
      <c r="G108" s="10">
        <f t="shared" si="9"/>
        <v>100</v>
      </c>
      <c r="H108" s="24"/>
    </row>
    <row r="109" spans="1:8" x14ac:dyDescent="0.25">
      <c r="A109" s="10">
        <v>53</v>
      </c>
      <c r="B109" s="3" t="s">
        <v>155</v>
      </c>
      <c r="C109" s="10">
        <v>5.2</v>
      </c>
      <c r="D109" s="10">
        <v>5</v>
      </c>
      <c r="E109" s="10">
        <v>5</v>
      </c>
      <c r="F109" s="10">
        <f t="shared" si="8"/>
        <v>101</v>
      </c>
      <c r="G109" s="10">
        <f t="shared" si="9"/>
        <v>105</v>
      </c>
      <c r="H109" s="24"/>
    </row>
    <row r="110" spans="1:8" x14ac:dyDescent="0.25">
      <c r="A110" s="10">
        <v>54</v>
      </c>
      <c r="B110" s="3" t="s">
        <v>156</v>
      </c>
      <c r="C110" s="10">
        <v>5.2</v>
      </c>
      <c r="D110" s="10">
        <v>6</v>
      </c>
      <c r="E110" s="10">
        <v>3</v>
      </c>
      <c r="F110" s="10">
        <f t="shared" si="8"/>
        <v>106</v>
      </c>
      <c r="G110" s="10">
        <f t="shared" si="9"/>
        <v>108</v>
      </c>
      <c r="H110" s="24"/>
    </row>
    <row r="111" spans="1:8" x14ac:dyDescent="0.25">
      <c r="A111" s="10">
        <v>55</v>
      </c>
      <c r="B111" s="3" t="s">
        <v>55</v>
      </c>
      <c r="C111" s="10">
        <v>5.2</v>
      </c>
      <c r="D111" s="10">
        <v>7</v>
      </c>
      <c r="E111" s="10">
        <v>2</v>
      </c>
      <c r="F111" s="10">
        <f t="shared" si="8"/>
        <v>109</v>
      </c>
      <c r="G111" s="10">
        <f t="shared" si="9"/>
        <v>110</v>
      </c>
      <c r="H111" s="24"/>
    </row>
    <row r="112" spans="1:8" x14ac:dyDescent="0.25">
      <c r="A112" s="10">
        <v>56</v>
      </c>
      <c r="B112" s="3" t="s">
        <v>56</v>
      </c>
      <c r="C112" s="10">
        <v>5.2</v>
      </c>
      <c r="D112" s="10">
        <v>8</v>
      </c>
      <c r="E112" s="10">
        <v>2</v>
      </c>
      <c r="F112" s="10">
        <f t="shared" si="8"/>
        <v>111</v>
      </c>
      <c r="G112" s="10">
        <f t="shared" si="9"/>
        <v>112</v>
      </c>
      <c r="H112" s="24"/>
    </row>
    <row r="113" spans="1:8" x14ac:dyDescent="0.25">
      <c r="A113" s="10">
        <v>57</v>
      </c>
      <c r="B113" s="3" t="s">
        <v>57</v>
      </c>
      <c r="C113" s="10">
        <v>5.2</v>
      </c>
      <c r="D113" s="10">
        <v>9</v>
      </c>
      <c r="E113" s="10">
        <v>1</v>
      </c>
      <c r="F113" s="10">
        <f t="shared" si="8"/>
        <v>113</v>
      </c>
      <c r="G113" s="10">
        <f t="shared" si="9"/>
        <v>113</v>
      </c>
      <c r="H113" s="24"/>
    </row>
    <row r="114" spans="1:8" x14ac:dyDescent="0.25">
      <c r="A114" s="10">
        <v>58</v>
      </c>
      <c r="B114" s="3" t="s">
        <v>58</v>
      </c>
      <c r="C114" s="10">
        <v>5.2</v>
      </c>
      <c r="D114" s="10">
        <v>10</v>
      </c>
      <c r="E114" s="10">
        <v>1</v>
      </c>
      <c r="F114" s="10">
        <f t="shared" si="8"/>
        <v>114</v>
      </c>
      <c r="G114" s="10">
        <f t="shared" si="9"/>
        <v>114</v>
      </c>
      <c r="H114" s="24"/>
    </row>
    <row r="115" spans="1:8" x14ac:dyDescent="0.25">
      <c r="A115" s="10">
        <v>59</v>
      </c>
      <c r="B115" s="3" t="s">
        <v>59</v>
      </c>
      <c r="C115" s="10">
        <v>5.2</v>
      </c>
      <c r="D115" s="10">
        <v>11</v>
      </c>
      <c r="E115" s="10">
        <v>1</v>
      </c>
      <c r="F115" s="10">
        <f t="shared" si="8"/>
        <v>115</v>
      </c>
      <c r="G115" s="10">
        <f t="shared" si="9"/>
        <v>115</v>
      </c>
      <c r="H115" s="24"/>
    </row>
    <row r="116" spans="1:8" x14ac:dyDescent="0.25">
      <c r="A116" s="10">
        <v>60</v>
      </c>
      <c r="B116" s="3" t="s">
        <v>60</v>
      </c>
      <c r="C116" s="10">
        <v>5.2</v>
      </c>
      <c r="D116" s="10">
        <v>12</v>
      </c>
      <c r="E116" s="10">
        <v>1</v>
      </c>
      <c r="F116" s="10">
        <f t="shared" si="8"/>
        <v>116</v>
      </c>
      <c r="G116" s="10">
        <f t="shared" si="9"/>
        <v>116</v>
      </c>
      <c r="H116" s="24"/>
    </row>
    <row r="117" spans="1:8" x14ac:dyDescent="0.25">
      <c r="A117" s="10">
        <v>61</v>
      </c>
      <c r="B117" s="3" t="s">
        <v>167</v>
      </c>
      <c r="C117" s="10">
        <v>5.2</v>
      </c>
      <c r="D117" s="10">
        <v>13</v>
      </c>
      <c r="E117" s="10">
        <v>1</v>
      </c>
      <c r="F117" s="10">
        <f t="shared" si="8"/>
        <v>117</v>
      </c>
      <c r="G117" s="10">
        <f t="shared" si="9"/>
        <v>117</v>
      </c>
      <c r="H117" s="24"/>
    </row>
    <row r="118" spans="1:8" x14ac:dyDescent="0.25">
      <c r="A118" s="10">
        <v>62</v>
      </c>
      <c r="B118" s="3" t="s">
        <v>168</v>
      </c>
      <c r="C118" s="10">
        <v>5.3</v>
      </c>
      <c r="D118" s="10">
        <v>5</v>
      </c>
      <c r="E118" s="10">
        <v>1</v>
      </c>
      <c r="F118" s="10">
        <f t="shared" si="8"/>
        <v>118</v>
      </c>
      <c r="G118" s="10">
        <f t="shared" si="9"/>
        <v>118</v>
      </c>
      <c r="H118" s="10"/>
    </row>
    <row r="119" spans="1:8" ht="31.5" x14ac:dyDescent="0.25">
      <c r="A119" s="10">
        <v>63</v>
      </c>
      <c r="B119" s="3" t="s">
        <v>169</v>
      </c>
      <c r="C119" s="10">
        <v>5.3</v>
      </c>
      <c r="D119" s="10">
        <v>6</v>
      </c>
      <c r="E119" s="10">
        <v>1</v>
      </c>
      <c r="F119" s="10">
        <f t="shared" si="8"/>
        <v>119</v>
      </c>
      <c r="G119" s="10">
        <f t="shared" si="9"/>
        <v>119</v>
      </c>
      <c r="H119" s="10"/>
    </row>
    <row r="120" spans="1:8" ht="31.5" x14ac:dyDescent="0.25">
      <c r="A120" s="10">
        <v>64</v>
      </c>
      <c r="B120" s="3" t="s">
        <v>170</v>
      </c>
      <c r="C120" s="10">
        <v>5.3</v>
      </c>
      <c r="D120" s="10">
        <v>7</v>
      </c>
      <c r="E120" s="10">
        <v>1</v>
      </c>
      <c r="F120" s="10">
        <f t="shared" si="8"/>
        <v>120</v>
      </c>
      <c r="G120" s="10">
        <f t="shared" si="9"/>
        <v>120</v>
      </c>
      <c r="H120" s="10"/>
    </row>
    <row r="121" spans="1:8" x14ac:dyDescent="0.25">
      <c r="A121" s="10">
        <v>65</v>
      </c>
      <c r="B121" s="3" t="s">
        <v>171</v>
      </c>
      <c r="C121" s="10">
        <v>5.3</v>
      </c>
      <c r="D121" s="10">
        <v>8</v>
      </c>
      <c r="E121" s="10">
        <v>1</v>
      </c>
      <c r="F121" s="10">
        <f t="shared" si="8"/>
        <v>121</v>
      </c>
      <c r="G121" s="10">
        <f t="shared" si="9"/>
        <v>121</v>
      </c>
      <c r="H121" s="10"/>
    </row>
    <row r="122" spans="1:8" x14ac:dyDescent="0.25">
      <c r="A122" s="10">
        <v>66</v>
      </c>
      <c r="B122" s="3" t="s">
        <v>172</v>
      </c>
      <c r="C122" s="10">
        <v>5.3</v>
      </c>
      <c r="D122" s="10">
        <v>9</v>
      </c>
      <c r="E122" s="10">
        <v>1</v>
      </c>
      <c r="F122" s="10">
        <f t="shared" si="8"/>
        <v>122</v>
      </c>
      <c r="G122" s="10">
        <f t="shared" si="9"/>
        <v>122</v>
      </c>
      <c r="H122" s="10"/>
    </row>
    <row r="123" spans="1:8" x14ac:dyDescent="0.25">
      <c r="A123" s="10">
        <v>67</v>
      </c>
      <c r="B123" s="3" t="s">
        <v>173</v>
      </c>
      <c r="C123" s="10">
        <v>5.3</v>
      </c>
      <c r="D123" s="10">
        <v>10</v>
      </c>
      <c r="E123" s="10">
        <v>1</v>
      </c>
      <c r="F123" s="10">
        <f t="shared" si="8"/>
        <v>123</v>
      </c>
      <c r="G123" s="10">
        <f t="shared" si="9"/>
        <v>123</v>
      </c>
      <c r="H123" s="10"/>
    </row>
    <row r="124" spans="1:8" x14ac:dyDescent="0.25">
      <c r="A124" s="10">
        <v>68</v>
      </c>
      <c r="B124" s="11" t="s">
        <v>174</v>
      </c>
      <c r="C124" s="13">
        <v>5.3</v>
      </c>
      <c r="D124" s="13">
        <v>11</v>
      </c>
      <c r="E124" s="13">
        <v>2</v>
      </c>
      <c r="F124" s="10">
        <f t="shared" si="8"/>
        <v>124</v>
      </c>
      <c r="G124" s="10">
        <f t="shared" si="9"/>
        <v>125</v>
      </c>
      <c r="H124" s="25"/>
    </row>
    <row r="125" spans="1:8" x14ac:dyDescent="0.25">
      <c r="A125" s="10">
        <v>69</v>
      </c>
      <c r="B125" s="3" t="s">
        <v>175</v>
      </c>
      <c r="C125" s="10">
        <v>5.3</v>
      </c>
      <c r="D125" s="10">
        <v>12</v>
      </c>
      <c r="E125" s="10">
        <v>1</v>
      </c>
      <c r="F125" s="10">
        <f t="shared" si="8"/>
        <v>126</v>
      </c>
      <c r="G125" s="10">
        <f t="shared" si="9"/>
        <v>126</v>
      </c>
      <c r="H125" s="10"/>
    </row>
    <row r="126" spans="1:8" x14ac:dyDescent="0.25">
      <c r="A126" s="10">
        <v>70</v>
      </c>
      <c r="B126" s="3" t="s">
        <v>61</v>
      </c>
      <c r="C126" s="10">
        <v>6</v>
      </c>
      <c r="D126" s="23" t="s">
        <v>69</v>
      </c>
      <c r="E126" s="10">
        <v>2</v>
      </c>
      <c r="F126" s="10">
        <f t="shared" si="8"/>
        <v>127</v>
      </c>
      <c r="G126" s="10">
        <f t="shared" si="9"/>
        <v>128</v>
      </c>
      <c r="H126" s="10"/>
    </row>
    <row r="127" spans="1:8" x14ac:dyDescent="0.25">
      <c r="A127" s="10">
        <v>71</v>
      </c>
      <c r="B127" s="3" t="s">
        <v>157</v>
      </c>
      <c r="C127" s="10">
        <v>6</v>
      </c>
      <c r="D127" s="23" t="s">
        <v>70</v>
      </c>
      <c r="E127" s="10">
        <v>2</v>
      </c>
      <c r="F127" s="10">
        <f t="shared" si="8"/>
        <v>129</v>
      </c>
      <c r="G127" s="10">
        <f t="shared" si="9"/>
        <v>130</v>
      </c>
      <c r="H127" s="10"/>
    </row>
    <row r="128" spans="1:8" x14ac:dyDescent="0.25">
      <c r="A128" s="10">
        <v>72</v>
      </c>
      <c r="B128" s="3" t="s">
        <v>74</v>
      </c>
      <c r="C128" s="10">
        <v>6</v>
      </c>
      <c r="D128" s="23" t="s">
        <v>63</v>
      </c>
      <c r="E128" s="10">
        <v>2</v>
      </c>
      <c r="F128" s="10">
        <f t="shared" si="8"/>
        <v>131</v>
      </c>
      <c r="G128" s="10">
        <f t="shared" si="9"/>
        <v>132</v>
      </c>
      <c r="H128" s="10"/>
    </row>
    <row r="129" spans="1:8" x14ac:dyDescent="0.25">
      <c r="A129" s="10">
        <v>73</v>
      </c>
      <c r="B129" s="3" t="s">
        <v>73</v>
      </c>
      <c r="C129" s="10">
        <v>6</v>
      </c>
      <c r="D129" s="23" t="s">
        <v>66</v>
      </c>
      <c r="E129" s="10">
        <v>5</v>
      </c>
      <c r="F129" s="10">
        <f t="shared" si="8"/>
        <v>133</v>
      </c>
      <c r="G129" s="10">
        <f t="shared" si="9"/>
        <v>137</v>
      </c>
      <c r="H129" s="10"/>
    </row>
    <row r="130" spans="1:8" x14ac:dyDescent="0.25">
      <c r="A130" s="10">
        <v>74</v>
      </c>
      <c r="B130" s="3" t="s">
        <v>62</v>
      </c>
      <c r="C130" s="10">
        <v>6</v>
      </c>
      <c r="D130" s="23" t="s">
        <v>69</v>
      </c>
      <c r="E130" s="10">
        <v>2</v>
      </c>
      <c r="F130" s="10">
        <f t="shared" si="8"/>
        <v>138</v>
      </c>
      <c r="G130" s="10">
        <f t="shared" si="9"/>
        <v>139</v>
      </c>
      <c r="H130" s="10"/>
    </row>
    <row r="131" spans="1:8" x14ac:dyDescent="0.25">
      <c r="A131" s="10">
        <v>75</v>
      </c>
      <c r="B131" s="3" t="s">
        <v>158</v>
      </c>
      <c r="C131" s="10">
        <v>6</v>
      </c>
      <c r="D131" s="23" t="s">
        <v>70</v>
      </c>
      <c r="E131" s="10">
        <v>2</v>
      </c>
      <c r="F131" s="10">
        <f t="shared" si="8"/>
        <v>140</v>
      </c>
      <c r="G131" s="10">
        <f t="shared" si="9"/>
        <v>141</v>
      </c>
      <c r="H131" s="10"/>
    </row>
    <row r="132" spans="1:8" x14ac:dyDescent="0.25">
      <c r="A132" s="10">
        <v>76</v>
      </c>
      <c r="B132" s="3" t="s">
        <v>87</v>
      </c>
      <c r="C132" s="10">
        <v>6</v>
      </c>
      <c r="D132" s="23" t="s">
        <v>63</v>
      </c>
      <c r="E132" s="10">
        <v>2</v>
      </c>
      <c r="F132" s="10">
        <f t="shared" si="8"/>
        <v>142</v>
      </c>
      <c r="G132" s="10">
        <f t="shared" si="9"/>
        <v>143</v>
      </c>
      <c r="H132" s="10"/>
    </row>
    <row r="133" spans="1:8" x14ac:dyDescent="0.25">
      <c r="A133" s="10">
        <v>77</v>
      </c>
      <c r="B133" s="3" t="s">
        <v>72</v>
      </c>
      <c r="C133" s="10">
        <v>6</v>
      </c>
      <c r="D133" s="23" t="s">
        <v>66</v>
      </c>
      <c r="E133" s="10">
        <v>5</v>
      </c>
      <c r="F133" s="10">
        <f t="shared" si="8"/>
        <v>144</v>
      </c>
      <c r="G133" s="10">
        <f t="shared" si="9"/>
        <v>148</v>
      </c>
      <c r="H133" s="10"/>
    </row>
    <row r="134" spans="1:8" x14ac:dyDescent="0.25">
      <c r="A134" s="10">
        <v>78</v>
      </c>
      <c r="B134" s="3" t="s">
        <v>71</v>
      </c>
      <c r="C134" s="10">
        <v>6</v>
      </c>
      <c r="D134" s="23" t="s">
        <v>76</v>
      </c>
      <c r="E134" s="10">
        <v>2</v>
      </c>
      <c r="F134" s="10">
        <f t="shared" si="8"/>
        <v>149</v>
      </c>
      <c r="G134" s="10">
        <f t="shared" si="9"/>
        <v>150</v>
      </c>
      <c r="H134" s="10"/>
    </row>
    <row r="135" spans="1:8" x14ac:dyDescent="0.25">
      <c r="A135" s="10">
        <v>79</v>
      </c>
      <c r="B135" s="3" t="s">
        <v>75</v>
      </c>
      <c r="C135" s="10">
        <v>6</v>
      </c>
      <c r="D135" s="23" t="s">
        <v>77</v>
      </c>
      <c r="E135" s="10">
        <v>2</v>
      </c>
      <c r="F135" s="10">
        <f t="shared" si="8"/>
        <v>151</v>
      </c>
      <c r="G135" s="10">
        <f t="shared" si="9"/>
        <v>152</v>
      </c>
      <c r="H135" s="10"/>
    </row>
    <row r="136" spans="1:8" x14ac:dyDescent="0.25">
      <c r="A136" s="10">
        <v>80</v>
      </c>
      <c r="B136" s="3" t="s">
        <v>61</v>
      </c>
      <c r="C136" s="10">
        <v>6</v>
      </c>
      <c r="D136" s="23" t="s">
        <v>79</v>
      </c>
      <c r="E136" s="10">
        <v>2</v>
      </c>
      <c r="F136" s="10">
        <f t="shared" si="8"/>
        <v>153</v>
      </c>
      <c r="G136" s="10">
        <f t="shared" si="9"/>
        <v>154</v>
      </c>
      <c r="H136" s="10"/>
    </row>
    <row r="137" spans="1:8" x14ac:dyDescent="0.25">
      <c r="A137" s="10">
        <v>81</v>
      </c>
      <c r="B137" s="3" t="s">
        <v>157</v>
      </c>
      <c r="C137" s="10">
        <v>6</v>
      </c>
      <c r="D137" s="23" t="s">
        <v>80</v>
      </c>
      <c r="E137" s="10">
        <v>2</v>
      </c>
      <c r="F137" s="10">
        <f t="shared" si="8"/>
        <v>155</v>
      </c>
      <c r="G137" s="10">
        <f t="shared" si="9"/>
        <v>156</v>
      </c>
      <c r="H137" s="10"/>
    </row>
    <row r="138" spans="1:8" x14ac:dyDescent="0.25">
      <c r="A138" s="10">
        <v>82</v>
      </c>
      <c r="B138" s="3" t="s">
        <v>82</v>
      </c>
      <c r="C138" s="10">
        <v>6</v>
      </c>
      <c r="D138" s="23" t="s">
        <v>64</v>
      </c>
      <c r="E138" s="10">
        <v>2</v>
      </c>
      <c r="F138" s="10">
        <f t="shared" si="8"/>
        <v>157</v>
      </c>
      <c r="G138" s="10">
        <f t="shared" si="9"/>
        <v>158</v>
      </c>
      <c r="H138" s="10"/>
    </row>
    <row r="139" spans="1:8" x14ac:dyDescent="0.25">
      <c r="A139" s="10">
        <v>83</v>
      </c>
      <c r="B139" s="3" t="s">
        <v>73</v>
      </c>
      <c r="C139" s="10">
        <v>6</v>
      </c>
      <c r="D139" s="23" t="s">
        <v>65</v>
      </c>
      <c r="E139" s="10">
        <v>5</v>
      </c>
      <c r="F139" s="10">
        <f t="shared" si="8"/>
        <v>159</v>
      </c>
      <c r="G139" s="10">
        <f t="shared" si="9"/>
        <v>163</v>
      </c>
      <c r="H139" s="10"/>
    </row>
    <row r="140" spans="1:8" x14ac:dyDescent="0.25">
      <c r="A140" s="10">
        <v>84</v>
      </c>
      <c r="B140" s="3" t="s">
        <v>62</v>
      </c>
      <c r="C140" s="10">
        <v>6</v>
      </c>
      <c r="D140" s="23" t="s">
        <v>79</v>
      </c>
      <c r="E140" s="10">
        <v>2</v>
      </c>
      <c r="F140" s="10">
        <f t="shared" si="8"/>
        <v>164</v>
      </c>
      <c r="G140" s="10">
        <f t="shared" si="9"/>
        <v>165</v>
      </c>
      <c r="H140" s="10"/>
    </row>
    <row r="141" spans="1:8" x14ac:dyDescent="0.25">
      <c r="A141" s="10">
        <v>85</v>
      </c>
      <c r="B141" s="3" t="s">
        <v>158</v>
      </c>
      <c r="C141" s="10">
        <v>6</v>
      </c>
      <c r="D141" s="23" t="s">
        <v>80</v>
      </c>
      <c r="E141" s="10">
        <v>2</v>
      </c>
      <c r="F141" s="10">
        <f t="shared" si="8"/>
        <v>166</v>
      </c>
      <c r="G141" s="10">
        <f t="shared" si="9"/>
        <v>167</v>
      </c>
      <c r="H141" s="10"/>
    </row>
    <row r="142" spans="1:8" x14ac:dyDescent="0.25">
      <c r="A142" s="10">
        <v>86</v>
      </c>
      <c r="B142" s="3" t="s">
        <v>83</v>
      </c>
      <c r="C142" s="10">
        <v>6</v>
      </c>
      <c r="D142" s="23" t="s">
        <v>64</v>
      </c>
      <c r="E142" s="10">
        <v>2</v>
      </c>
      <c r="F142" s="10">
        <f t="shared" si="8"/>
        <v>168</v>
      </c>
      <c r="G142" s="10">
        <f t="shared" si="9"/>
        <v>169</v>
      </c>
      <c r="H142" s="10"/>
    </row>
    <row r="143" spans="1:8" x14ac:dyDescent="0.25">
      <c r="A143" s="10">
        <v>87</v>
      </c>
      <c r="B143" s="3" t="s">
        <v>84</v>
      </c>
      <c r="C143" s="10">
        <v>6</v>
      </c>
      <c r="D143" s="23" t="s">
        <v>65</v>
      </c>
      <c r="E143" s="10">
        <v>5</v>
      </c>
      <c r="F143" s="10">
        <f t="shared" si="8"/>
        <v>170</v>
      </c>
      <c r="G143" s="10">
        <f t="shared" si="9"/>
        <v>174</v>
      </c>
      <c r="H143" s="10"/>
    </row>
    <row r="144" spans="1:8" x14ac:dyDescent="0.25">
      <c r="A144" s="10">
        <v>88</v>
      </c>
      <c r="B144" s="3" t="s">
        <v>85</v>
      </c>
      <c r="C144" s="10">
        <v>6</v>
      </c>
      <c r="D144" s="23" t="s">
        <v>81</v>
      </c>
      <c r="E144" s="10">
        <v>2</v>
      </c>
      <c r="F144" s="10">
        <f t="shared" si="8"/>
        <v>175</v>
      </c>
      <c r="G144" s="10">
        <f t="shared" si="9"/>
        <v>176</v>
      </c>
      <c r="H144" s="10"/>
    </row>
    <row r="145" spans="1:8" x14ac:dyDescent="0.25">
      <c r="A145" s="10">
        <v>89</v>
      </c>
      <c r="B145" s="3" t="s">
        <v>86</v>
      </c>
      <c r="C145" s="10">
        <v>6</v>
      </c>
      <c r="D145" s="23" t="s">
        <v>78</v>
      </c>
      <c r="E145" s="10">
        <v>2</v>
      </c>
      <c r="F145" s="10">
        <f t="shared" si="8"/>
        <v>177</v>
      </c>
      <c r="G145" s="10">
        <f t="shared" si="9"/>
        <v>178</v>
      </c>
      <c r="H145" s="10"/>
    </row>
    <row r="146" spans="1:8" x14ac:dyDescent="0.25">
      <c r="A146" s="10">
        <v>90</v>
      </c>
      <c r="B146" s="3" t="s">
        <v>61</v>
      </c>
      <c r="C146" s="10">
        <v>6</v>
      </c>
      <c r="D146" s="23" t="s">
        <v>88</v>
      </c>
      <c r="E146" s="10">
        <v>2</v>
      </c>
      <c r="F146" s="10">
        <f t="shared" si="8"/>
        <v>179</v>
      </c>
      <c r="G146" s="10">
        <f t="shared" si="9"/>
        <v>180</v>
      </c>
      <c r="H146" s="10"/>
    </row>
    <row r="147" spans="1:8" x14ac:dyDescent="0.25">
      <c r="A147" s="10">
        <v>91</v>
      </c>
      <c r="B147" s="3" t="s">
        <v>157</v>
      </c>
      <c r="C147" s="10">
        <v>6</v>
      </c>
      <c r="D147" s="23" t="s">
        <v>89</v>
      </c>
      <c r="E147" s="10">
        <v>2</v>
      </c>
      <c r="F147" s="10">
        <f t="shared" si="8"/>
        <v>181</v>
      </c>
      <c r="G147" s="10">
        <f t="shared" si="9"/>
        <v>182</v>
      </c>
      <c r="H147" s="10"/>
    </row>
    <row r="148" spans="1:8" x14ac:dyDescent="0.25">
      <c r="A148" s="10">
        <v>92</v>
      </c>
      <c r="B148" s="3" t="s">
        <v>94</v>
      </c>
      <c r="C148" s="10">
        <v>6</v>
      </c>
      <c r="D148" s="23" t="s">
        <v>90</v>
      </c>
      <c r="E148" s="10">
        <v>2</v>
      </c>
      <c r="F148" s="10">
        <f t="shared" si="8"/>
        <v>183</v>
      </c>
      <c r="G148" s="10">
        <f t="shared" si="9"/>
        <v>184</v>
      </c>
      <c r="H148" s="10"/>
    </row>
    <row r="149" spans="1:8" x14ac:dyDescent="0.25">
      <c r="A149" s="10">
        <v>93</v>
      </c>
      <c r="B149" s="3" t="s">
        <v>95</v>
      </c>
      <c r="C149" s="10">
        <v>6</v>
      </c>
      <c r="D149" s="23" t="s">
        <v>91</v>
      </c>
      <c r="E149" s="10">
        <v>5</v>
      </c>
      <c r="F149" s="10">
        <f t="shared" si="8"/>
        <v>185</v>
      </c>
      <c r="G149" s="10">
        <f t="shared" si="9"/>
        <v>189</v>
      </c>
      <c r="H149" s="10"/>
    </row>
    <row r="150" spans="1:8" x14ac:dyDescent="0.25">
      <c r="A150" s="10">
        <v>94</v>
      </c>
      <c r="B150" s="3" t="s">
        <v>62</v>
      </c>
      <c r="C150" s="10">
        <v>6</v>
      </c>
      <c r="D150" s="23" t="s">
        <v>88</v>
      </c>
      <c r="E150" s="10">
        <v>2</v>
      </c>
      <c r="F150" s="10">
        <f t="shared" si="8"/>
        <v>190</v>
      </c>
      <c r="G150" s="10">
        <f t="shared" si="9"/>
        <v>191</v>
      </c>
      <c r="H150" s="10"/>
    </row>
    <row r="151" spans="1:8" x14ac:dyDescent="0.25">
      <c r="A151" s="10">
        <v>95</v>
      </c>
      <c r="B151" s="3" t="s">
        <v>158</v>
      </c>
      <c r="C151" s="10">
        <v>6</v>
      </c>
      <c r="D151" s="23" t="s">
        <v>89</v>
      </c>
      <c r="E151" s="10">
        <v>2</v>
      </c>
      <c r="F151" s="10">
        <f t="shared" si="8"/>
        <v>192</v>
      </c>
      <c r="G151" s="10">
        <f t="shared" si="9"/>
        <v>193</v>
      </c>
      <c r="H151" s="10"/>
    </row>
    <row r="152" spans="1:8" x14ac:dyDescent="0.25">
      <c r="A152" s="10">
        <v>96</v>
      </c>
      <c r="B152" s="3" t="s">
        <v>96</v>
      </c>
      <c r="C152" s="10">
        <v>6</v>
      </c>
      <c r="D152" s="23" t="s">
        <v>90</v>
      </c>
      <c r="E152" s="10">
        <v>2</v>
      </c>
      <c r="F152" s="10">
        <f t="shared" si="8"/>
        <v>194</v>
      </c>
      <c r="G152" s="10">
        <f t="shared" si="9"/>
        <v>195</v>
      </c>
      <c r="H152" s="10"/>
    </row>
    <row r="153" spans="1:8" x14ac:dyDescent="0.25">
      <c r="A153" s="10">
        <v>97</v>
      </c>
      <c r="B153" s="3" t="s">
        <v>97</v>
      </c>
      <c r="C153" s="10">
        <v>6</v>
      </c>
      <c r="D153" s="23" t="s">
        <v>91</v>
      </c>
      <c r="E153" s="10">
        <v>5</v>
      </c>
      <c r="F153" s="10">
        <f t="shared" si="8"/>
        <v>196</v>
      </c>
      <c r="G153" s="10">
        <f t="shared" si="9"/>
        <v>200</v>
      </c>
      <c r="H153" s="10"/>
    </row>
    <row r="154" spans="1:8" x14ac:dyDescent="0.25">
      <c r="A154" s="10">
        <v>98</v>
      </c>
      <c r="B154" s="3" t="s">
        <v>98</v>
      </c>
      <c r="C154" s="10">
        <v>6</v>
      </c>
      <c r="D154" s="23" t="s">
        <v>92</v>
      </c>
      <c r="E154" s="10">
        <v>2</v>
      </c>
      <c r="F154" s="10">
        <f t="shared" si="8"/>
        <v>201</v>
      </c>
      <c r="G154" s="10">
        <f t="shared" si="9"/>
        <v>202</v>
      </c>
      <c r="H154" s="10"/>
    </row>
    <row r="155" spans="1:8" x14ac:dyDescent="0.25">
      <c r="A155" s="10">
        <v>99</v>
      </c>
      <c r="B155" s="3" t="s">
        <v>99</v>
      </c>
      <c r="C155" s="10">
        <v>6</v>
      </c>
      <c r="D155" s="23" t="s">
        <v>93</v>
      </c>
      <c r="E155" s="10">
        <v>2</v>
      </c>
      <c r="F155" s="10">
        <f t="shared" si="8"/>
        <v>203</v>
      </c>
      <c r="G155" s="10">
        <f t="shared" si="9"/>
        <v>204</v>
      </c>
      <c r="H155" s="10"/>
    </row>
    <row r="156" spans="1:8" x14ac:dyDescent="0.25">
      <c r="A156" s="10">
        <v>100</v>
      </c>
      <c r="B156" s="3" t="s">
        <v>61</v>
      </c>
      <c r="C156" s="10">
        <v>6</v>
      </c>
      <c r="D156" s="23" t="s">
        <v>100</v>
      </c>
      <c r="E156" s="10">
        <v>2</v>
      </c>
      <c r="F156" s="10">
        <f t="shared" si="8"/>
        <v>205</v>
      </c>
      <c r="G156" s="10">
        <f t="shared" si="9"/>
        <v>206</v>
      </c>
      <c r="H156" s="10"/>
    </row>
    <row r="157" spans="1:8" x14ac:dyDescent="0.25">
      <c r="A157" s="10">
        <v>101</v>
      </c>
      <c r="B157" s="3" t="s">
        <v>157</v>
      </c>
      <c r="C157" s="10">
        <v>6</v>
      </c>
      <c r="D157" s="23" t="s">
        <v>101</v>
      </c>
      <c r="E157" s="10">
        <v>2</v>
      </c>
      <c r="F157" s="10">
        <f t="shared" si="8"/>
        <v>207</v>
      </c>
      <c r="G157" s="10">
        <f t="shared" si="9"/>
        <v>208</v>
      </c>
      <c r="H157" s="10"/>
    </row>
    <row r="158" spans="1:8" x14ac:dyDescent="0.25">
      <c r="A158" s="10">
        <v>102</v>
      </c>
      <c r="B158" s="3" t="s">
        <v>106</v>
      </c>
      <c r="C158" s="10">
        <v>6</v>
      </c>
      <c r="D158" s="23" t="s">
        <v>102</v>
      </c>
      <c r="E158" s="10">
        <v>2</v>
      </c>
      <c r="F158" s="10">
        <f t="shared" si="8"/>
        <v>209</v>
      </c>
      <c r="G158" s="10">
        <f t="shared" si="9"/>
        <v>210</v>
      </c>
      <c r="H158" s="10"/>
    </row>
    <row r="159" spans="1:8" x14ac:dyDescent="0.25">
      <c r="A159" s="10">
        <v>103</v>
      </c>
      <c r="B159" s="3" t="s">
        <v>108</v>
      </c>
      <c r="C159" s="10">
        <v>6</v>
      </c>
      <c r="D159" s="23" t="s">
        <v>103</v>
      </c>
      <c r="E159" s="10">
        <v>5</v>
      </c>
      <c r="F159" s="10">
        <f t="shared" si="8"/>
        <v>211</v>
      </c>
      <c r="G159" s="10">
        <f t="shared" si="9"/>
        <v>215</v>
      </c>
      <c r="H159" s="10"/>
    </row>
    <row r="160" spans="1:8" x14ac:dyDescent="0.25">
      <c r="A160" s="10">
        <v>104</v>
      </c>
      <c r="B160" s="3" t="s">
        <v>62</v>
      </c>
      <c r="C160" s="10">
        <v>6</v>
      </c>
      <c r="D160" s="23" t="s">
        <v>100</v>
      </c>
      <c r="E160" s="10">
        <v>2</v>
      </c>
      <c r="F160" s="10">
        <f t="shared" si="8"/>
        <v>216</v>
      </c>
      <c r="G160" s="10">
        <f t="shared" si="9"/>
        <v>217</v>
      </c>
      <c r="H160" s="10"/>
    </row>
    <row r="161" spans="1:8" x14ac:dyDescent="0.25">
      <c r="A161" s="10">
        <v>105</v>
      </c>
      <c r="B161" s="3" t="s">
        <v>158</v>
      </c>
      <c r="C161" s="10">
        <v>6</v>
      </c>
      <c r="D161" s="23" t="s">
        <v>101</v>
      </c>
      <c r="E161" s="10">
        <v>2</v>
      </c>
      <c r="F161" s="10">
        <f t="shared" si="8"/>
        <v>218</v>
      </c>
      <c r="G161" s="10">
        <f t="shared" si="9"/>
        <v>219</v>
      </c>
      <c r="H161" s="10"/>
    </row>
    <row r="162" spans="1:8" x14ac:dyDescent="0.25">
      <c r="A162" s="10">
        <v>106</v>
      </c>
      <c r="B162" s="3" t="s">
        <v>107</v>
      </c>
      <c r="C162" s="10">
        <v>6</v>
      </c>
      <c r="D162" s="23" t="s">
        <v>102</v>
      </c>
      <c r="E162" s="10">
        <v>2</v>
      </c>
      <c r="F162" s="10">
        <f t="shared" si="8"/>
        <v>220</v>
      </c>
      <c r="G162" s="10">
        <f t="shared" si="9"/>
        <v>221</v>
      </c>
      <c r="H162" s="10"/>
    </row>
    <row r="163" spans="1:8" x14ac:dyDescent="0.25">
      <c r="A163" s="10">
        <v>107</v>
      </c>
      <c r="B163" s="3" t="s">
        <v>109</v>
      </c>
      <c r="C163" s="10">
        <v>6</v>
      </c>
      <c r="D163" s="23" t="s">
        <v>103</v>
      </c>
      <c r="E163" s="10">
        <v>5</v>
      </c>
      <c r="F163" s="10">
        <f t="shared" si="8"/>
        <v>222</v>
      </c>
      <c r="G163" s="10">
        <f t="shared" si="9"/>
        <v>226</v>
      </c>
      <c r="H163" s="10"/>
    </row>
    <row r="164" spans="1:8" x14ac:dyDescent="0.25">
      <c r="A164" s="10">
        <v>108</v>
      </c>
      <c r="B164" s="3" t="s">
        <v>110</v>
      </c>
      <c r="C164" s="10">
        <v>6</v>
      </c>
      <c r="D164" s="23" t="s">
        <v>104</v>
      </c>
      <c r="E164" s="10">
        <v>2</v>
      </c>
      <c r="F164" s="10">
        <f t="shared" si="8"/>
        <v>227</v>
      </c>
      <c r="G164" s="10">
        <f t="shared" si="9"/>
        <v>228</v>
      </c>
      <c r="H164" s="10"/>
    </row>
    <row r="165" spans="1:8" x14ac:dyDescent="0.25">
      <c r="A165" s="10">
        <v>109</v>
      </c>
      <c r="B165" s="3" t="s">
        <v>111</v>
      </c>
      <c r="C165" s="10">
        <v>6</v>
      </c>
      <c r="D165" s="23" t="s">
        <v>105</v>
      </c>
      <c r="E165" s="10">
        <v>2</v>
      </c>
      <c r="F165" s="10">
        <f t="shared" si="8"/>
        <v>229</v>
      </c>
      <c r="G165" s="10">
        <f t="shared" si="9"/>
        <v>230</v>
      </c>
      <c r="H165" s="10"/>
    </row>
    <row r="166" spans="1:8" x14ac:dyDescent="0.25">
      <c r="A166" s="10">
        <v>110</v>
      </c>
      <c r="B166" s="3" t="s">
        <v>61</v>
      </c>
      <c r="C166" s="10">
        <v>6</v>
      </c>
      <c r="D166" s="23" t="s">
        <v>112</v>
      </c>
      <c r="E166" s="10">
        <v>2</v>
      </c>
      <c r="F166" s="10">
        <f t="shared" si="8"/>
        <v>231</v>
      </c>
      <c r="G166" s="10">
        <f t="shared" si="9"/>
        <v>232</v>
      </c>
      <c r="H166" s="10"/>
    </row>
    <row r="167" spans="1:8" x14ac:dyDescent="0.25">
      <c r="A167" s="10">
        <v>111</v>
      </c>
      <c r="B167" s="3" t="s">
        <v>157</v>
      </c>
      <c r="C167" s="10">
        <v>6</v>
      </c>
      <c r="D167" s="23" t="s">
        <v>113</v>
      </c>
      <c r="E167" s="10">
        <v>2</v>
      </c>
      <c r="F167" s="10">
        <f t="shared" si="8"/>
        <v>233</v>
      </c>
      <c r="G167" s="10">
        <f t="shared" si="9"/>
        <v>234</v>
      </c>
      <c r="H167" s="10"/>
    </row>
    <row r="168" spans="1:8" x14ac:dyDescent="0.25">
      <c r="A168" s="10">
        <v>112</v>
      </c>
      <c r="B168" s="3" t="s">
        <v>118</v>
      </c>
      <c r="C168" s="10">
        <v>6</v>
      </c>
      <c r="D168" s="23" t="s">
        <v>114</v>
      </c>
      <c r="E168" s="10">
        <v>2</v>
      </c>
      <c r="F168" s="10">
        <f t="shared" si="8"/>
        <v>235</v>
      </c>
      <c r="G168" s="10">
        <f t="shared" si="9"/>
        <v>236</v>
      </c>
      <c r="H168" s="10"/>
    </row>
    <row r="169" spans="1:8" x14ac:dyDescent="0.25">
      <c r="A169" s="10">
        <v>113</v>
      </c>
      <c r="B169" s="3" t="s">
        <v>119</v>
      </c>
      <c r="C169" s="10">
        <v>6</v>
      </c>
      <c r="D169" s="23" t="s">
        <v>115</v>
      </c>
      <c r="E169" s="10">
        <v>5</v>
      </c>
      <c r="F169" s="10">
        <f t="shared" si="8"/>
        <v>237</v>
      </c>
      <c r="G169" s="10">
        <f t="shared" si="9"/>
        <v>241</v>
      </c>
      <c r="H169" s="10"/>
    </row>
    <row r="170" spans="1:8" x14ac:dyDescent="0.25">
      <c r="A170" s="10">
        <v>114</v>
      </c>
      <c r="B170" s="3" t="s">
        <v>62</v>
      </c>
      <c r="C170" s="10">
        <v>6</v>
      </c>
      <c r="D170" s="23" t="s">
        <v>112</v>
      </c>
      <c r="E170" s="10">
        <v>2</v>
      </c>
      <c r="F170" s="10">
        <f t="shared" ref="F170:F209" si="10">G169+1</f>
        <v>242</v>
      </c>
      <c r="G170" s="10">
        <f t="shared" si="9"/>
        <v>243</v>
      </c>
      <c r="H170" s="10"/>
    </row>
    <row r="171" spans="1:8" x14ac:dyDescent="0.25">
      <c r="A171" s="10">
        <v>115</v>
      </c>
      <c r="B171" s="3" t="s">
        <v>158</v>
      </c>
      <c r="C171" s="10">
        <v>6</v>
      </c>
      <c r="D171" s="23" t="s">
        <v>113</v>
      </c>
      <c r="E171" s="10">
        <v>2</v>
      </c>
      <c r="F171" s="10">
        <f t="shared" si="10"/>
        <v>244</v>
      </c>
      <c r="G171" s="10">
        <f t="shared" ref="G171:G209" si="11">G170+E171</f>
        <v>245</v>
      </c>
      <c r="H171" s="10"/>
    </row>
    <row r="172" spans="1:8" x14ac:dyDescent="0.25">
      <c r="A172" s="10">
        <v>116</v>
      </c>
      <c r="B172" s="3" t="s">
        <v>120</v>
      </c>
      <c r="C172" s="10">
        <v>6</v>
      </c>
      <c r="D172" s="23" t="s">
        <v>114</v>
      </c>
      <c r="E172" s="10">
        <v>2</v>
      </c>
      <c r="F172" s="10">
        <f t="shared" si="10"/>
        <v>246</v>
      </c>
      <c r="G172" s="10">
        <f t="shared" si="11"/>
        <v>247</v>
      </c>
      <c r="H172" s="10"/>
    </row>
    <row r="173" spans="1:8" x14ac:dyDescent="0.25">
      <c r="A173" s="10">
        <v>117</v>
      </c>
      <c r="B173" s="3" t="s">
        <v>121</v>
      </c>
      <c r="C173" s="10">
        <v>6</v>
      </c>
      <c r="D173" s="23" t="s">
        <v>115</v>
      </c>
      <c r="E173" s="10">
        <v>5</v>
      </c>
      <c r="F173" s="10">
        <f t="shared" si="10"/>
        <v>248</v>
      </c>
      <c r="G173" s="10">
        <f t="shared" si="11"/>
        <v>252</v>
      </c>
      <c r="H173" s="10"/>
    </row>
    <row r="174" spans="1:8" x14ac:dyDescent="0.25">
      <c r="A174" s="10">
        <v>118</v>
      </c>
      <c r="B174" s="3" t="s">
        <v>122</v>
      </c>
      <c r="C174" s="10">
        <v>6</v>
      </c>
      <c r="D174" s="23" t="s">
        <v>116</v>
      </c>
      <c r="E174" s="10">
        <v>2</v>
      </c>
      <c r="F174" s="10">
        <f t="shared" si="10"/>
        <v>253</v>
      </c>
      <c r="G174" s="10">
        <f t="shared" si="11"/>
        <v>254</v>
      </c>
      <c r="H174" s="10"/>
    </row>
    <row r="175" spans="1:8" x14ac:dyDescent="0.25">
      <c r="A175" s="10">
        <v>119</v>
      </c>
      <c r="B175" s="3" t="s">
        <v>123</v>
      </c>
      <c r="C175" s="10">
        <v>6</v>
      </c>
      <c r="D175" s="23" t="s">
        <v>117</v>
      </c>
      <c r="E175" s="10">
        <v>2</v>
      </c>
      <c r="F175" s="10">
        <f t="shared" si="10"/>
        <v>255</v>
      </c>
      <c r="G175" s="10">
        <f t="shared" si="11"/>
        <v>256</v>
      </c>
      <c r="H175" s="10"/>
    </row>
    <row r="176" spans="1:8" x14ac:dyDescent="0.25">
      <c r="A176" s="10">
        <v>120</v>
      </c>
      <c r="B176" s="3" t="s">
        <v>61</v>
      </c>
      <c r="C176" s="10">
        <v>6</v>
      </c>
      <c r="D176" s="23" t="s">
        <v>130</v>
      </c>
      <c r="E176" s="10">
        <v>2</v>
      </c>
      <c r="F176" s="10">
        <f t="shared" si="10"/>
        <v>257</v>
      </c>
      <c r="G176" s="10">
        <f t="shared" si="11"/>
        <v>258</v>
      </c>
      <c r="H176" s="10"/>
    </row>
    <row r="177" spans="1:51" x14ac:dyDescent="0.25">
      <c r="A177" s="10">
        <v>121</v>
      </c>
      <c r="B177" s="3" t="s">
        <v>157</v>
      </c>
      <c r="C177" s="10">
        <v>6</v>
      </c>
      <c r="D177" s="23" t="s">
        <v>131</v>
      </c>
      <c r="E177" s="10">
        <v>2</v>
      </c>
      <c r="F177" s="10">
        <f t="shared" si="10"/>
        <v>259</v>
      </c>
      <c r="G177" s="10">
        <f t="shared" si="11"/>
        <v>260</v>
      </c>
      <c r="H177" s="10"/>
    </row>
    <row r="178" spans="1:51" x14ac:dyDescent="0.25">
      <c r="A178" s="10">
        <v>122</v>
      </c>
      <c r="B178" s="3" t="s">
        <v>124</v>
      </c>
      <c r="C178" s="10">
        <v>6</v>
      </c>
      <c r="D178" s="23" t="s">
        <v>132</v>
      </c>
      <c r="E178" s="10">
        <v>2</v>
      </c>
      <c r="F178" s="10">
        <f t="shared" si="10"/>
        <v>261</v>
      </c>
      <c r="G178" s="10">
        <f t="shared" si="11"/>
        <v>262</v>
      </c>
      <c r="H178" s="10"/>
    </row>
    <row r="179" spans="1:51" x14ac:dyDescent="0.25">
      <c r="A179" s="10">
        <v>123</v>
      </c>
      <c r="B179" s="3" t="s">
        <v>125</v>
      </c>
      <c r="C179" s="10">
        <v>6</v>
      </c>
      <c r="D179" s="23" t="s">
        <v>68</v>
      </c>
      <c r="E179" s="10">
        <v>5</v>
      </c>
      <c r="F179" s="10">
        <f t="shared" si="10"/>
        <v>263</v>
      </c>
      <c r="G179" s="10">
        <f t="shared" si="11"/>
        <v>267</v>
      </c>
      <c r="H179" s="10"/>
    </row>
    <row r="180" spans="1:51" x14ac:dyDescent="0.25">
      <c r="A180" s="10">
        <v>124</v>
      </c>
      <c r="B180" s="3" t="s">
        <v>62</v>
      </c>
      <c r="C180" s="10">
        <v>6</v>
      </c>
      <c r="D180" s="23" t="s">
        <v>130</v>
      </c>
      <c r="E180" s="10">
        <v>2</v>
      </c>
      <c r="F180" s="10">
        <f t="shared" si="10"/>
        <v>268</v>
      </c>
      <c r="G180" s="10">
        <f t="shared" si="11"/>
        <v>269</v>
      </c>
      <c r="H180" s="10"/>
    </row>
    <row r="181" spans="1:51" s="3" customFormat="1" x14ac:dyDescent="0.25">
      <c r="A181" s="10">
        <v>125</v>
      </c>
      <c r="B181" s="3" t="s">
        <v>158</v>
      </c>
      <c r="C181" s="10">
        <v>6</v>
      </c>
      <c r="D181" s="23" t="s">
        <v>131</v>
      </c>
      <c r="E181" s="10">
        <v>2</v>
      </c>
      <c r="F181" s="10">
        <f t="shared" si="10"/>
        <v>270</v>
      </c>
      <c r="G181" s="10">
        <f t="shared" si="11"/>
        <v>271</v>
      </c>
      <c r="H181" s="10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</row>
    <row r="182" spans="1:51" x14ac:dyDescent="0.25">
      <c r="A182" s="10">
        <v>126</v>
      </c>
      <c r="B182" s="3" t="s">
        <v>126</v>
      </c>
      <c r="C182" s="10">
        <v>6</v>
      </c>
      <c r="D182" s="23" t="s">
        <v>132</v>
      </c>
      <c r="E182" s="10">
        <v>2</v>
      </c>
      <c r="F182" s="10">
        <f t="shared" si="10"/>
        <v>272</v>
      </c>
      <c r="G182" s="10">
        <f t="shared" si="11"/>
        <v>273</v>
      </c>
      <c r="H182" s="10"/>
    </row>
    <row r="183" spans="1:51" x14ac:dyDescent="0.25">
      <c r="A183" s="10">
        <v>127</v>
      </c>
      <c r="B183" s="3" t="s">
        <v>127</v>
      </c>
      <c r="C183" s="10">
        <v>6</v>
      </c>
      <c r="D183" s="23" t="s">
        <v>68</v>
      </c>
      <c r="E183" s="10">
        <v>5</v>
      </c>
      <c r="F183" s="10">
        <f t="shared" si="10"/>
        <v>274</v>
      </c>
      <c r="G183" s="10">
        <f t="shared" si="11"/>
        <v>278</v>
      </c>
      <c r="H183" s="10"/>
    </row>
    <row r="184" spans="1:51" x14ac:dyDescent="0.25">
      <c r="A184" s="10">
        <v>128</v>
      </c>
      <c r="B184" s="3" t="s">
        <v>128</v>
      </c>
      <c r="C184" s="10">
        <v>6</v>
      </c>
      <c r="D184" s="23" t="s">
        <v>133</v>
      </c>
      <c r="E184" s="10">
        <v>2</v>
      </c>
      <c r="F184" s="10">
        <f t="shared" si="10"/>
        <v>279</v>
      </c>
      <c r="G184" s="10">
        <f t="shared" si="11"/>
        <v>280</v>
      </c>
      <c r="H184" s="10"/>
    </row>
    <row r="185" spans="1:51" x14ac:dyDescent="0.25">
      <c r="A185" s="10">
        <v>129</v>
      </c>
      <c r="B185" s="3" t="s">
        <v>129</v>
      </c>
      <c r="C185" s="10">
        <v>6</v>
      </c>
      <c r="D185" s="23" t="s">
        <v>134</v>
      </c>
      <c r="E185" s="10">
        <v>2</v>
      </c>
      <c r="F185" s="10">
        <f t="shared" si="10"/>
        <v>281</v>
      </c>
      <c r="G185" s="10">
        <f t="shared" si="11"/>
        <v>282</v>
      </c>
      <c r="H185" s="10"/>
    </row>
    <row r="186" spans="1:51" x14ac:dyDescent="0.25">
      <c r="A186" s="10">
        <v>130</v>
      </c>
      <c r="B186" s="3" t="s">
        <v>61</v>
      </c>
      <c r="C186" s="10">
        <v>6</v>
      </c>
      <c r="D186" s="23" t="s">
        <v>135</v>
      </c>
      <c r="E186" s="10">
        <v>2</v>
      </c>
      <c r="F186" s="10">
        <f t="shared" si="10"/>
        <v>283</v>
      </c>
      <c r="G186" s="10">
        <f t="shared" si="11"/>
        <v>284</v>
      </c>
      <c r="H186" s="10"/>
    </row>
    <row r="187" spans="1:51" x14ac:dyDescent="0.25">
      <c r="A187" s="10">
        <v>131</v>
      </c>
      <c r="B187" s="3" t="s">
        <v>157</v>
      </c>
      <c r="C187" s="10">
        <v>6</v>
      </c>
      <c r="D187" s="23" t="s">
        <v>136</v>
      </c>
      <c r="E187" s="10">
        <v>2</v>
      </c>
      <c r="F187" s="10">
        <f t="shared" si="10"/>
        <v>285</v>
      </c>
      <c r="G187" s="10">
        <f t="shared" si="11"/>
        <v>286</v>
      </c>
      <c r="H187" s="10"/>
    </row>
    <row r="188" spans="1:51" x14ac:dyDescent="0.25">
      <c r="A188" s="10">
        <v>132</v>
      </c>
      <c r="B188" s="3" t="s">
        <v>140</v>
      </c>
      <c r="C188" s="10">
        <v>6</v>
      </c>
      <c r="D188" s="23" t="s">
        <v>137</v>
      </c>
      <c r="E188" s="10">
        <v>2</v>
      </c>
      <c r="F188" s="10">
        <f t="shared" si="10"/>
        <v>287</v>
      </c>
      <c r="G188" s="10">
        <f t="shared" si="11"/>
        <v>288</v>
      </c>
      <c r="H188" s="10"/>
    </row>
    <row r="189" spans="1:51" x14ac:dyDescent="0.25">
      <c r="A189" s="10">
        <v>133</v>
      </c>
      <c r="B189" s="3" t="s">
        <v>141</v>
      </c>
      <c r="C189" s="10">
        <v>6</v>
      </c>
      <c r="D189" s="23" t="s">
        <v>67</v>
      </c>
      <c r="E189" s="10">
        <v>5</v>
      </c>
      <c r="F189" s="10">
        <f t="shared" si="10"/>
        <v>289</v>
      </c>
      <c r="G189" s="10">
        <f t="shared" si="11"/>
        <v>293</v>
      </c>
      <c r="H189" s="10"/>
    </row>
    <row r="190" spans="1:51" x14ac:dyDescent="0.25">
      <c r="A190" s="10">
        <v>134</v>
      </c>
      <c r="B190" s="3" t="s">
        <v>62</v>
      </c>
      <c r="C190" s="10">
        <v>6</v>
      </c>
      <c r="D190" s="23" t="s">
        <v>135</v>
      </c>
      <c r="E190" s="10">
        <v>2</v>
      </c>
      <c r="F190" s="10">
        <f t="shared" si="10"/>
        <v>294</v>
      </c>
      <c r="G190" s="10">
        <f t="shared" si="11"/>
        <v>295</v>
      </c>
      <c r="H190" s="10"/>
    </row>
    <row r="191" spans="1:51" x14ac:dyDescent="0.25">
      <c r="A191" s="10">
        <v>135</v>
      </c>
      <c r="B191" s="3" t="s">
        <v>158</v>
      </c>
      <c r="C191" s="10">
        <v>6</v>
      </c>
      <c r="D191" s="23" t="s">
        <v>136</v>
      </c>
      <c r="E191" s="10">
        <v>2</v>
      </c>
      <c r="F191" s="10">
        <f t="shared" si="10"/>
        <v>296</v>
      </c>
      <c r="G191" s="10">
        <f t="shared" si="11"/>
        <v>297</v>
      </c>
      <c r="H191" s="10"/>
    </row>
    <row r="192" spans="1:51" x14ac:dyDescent="0.25">
      <c r="A192" s="10">
        <v>136</v>
      </c>
      <c r="B192" s="3" t="s">
        <v>142</v>
      </c>
      <c r="C192" s="10">
        <v>6</v>
      </c>
      <c r="D192" s="23" t="s">
        <v>137</v>
      </c>
      <c r="E192" s="10">
        <v>2</v>
      </c>
      <c r="F192" s="10">
        <f t="shared" si="10"/>
        <v>298</v>
      </c>
      <c r="G192" s="10">
        <f t="shared" si="11"/>
        <v>299</v>
      </c>
      <c r="H192" s="10"/>
    </row>
    <row r="193" spans="1:8" x14ac:dyDescent="0.25">
      <c r="A193" s="10">
        <v>137</v>
      </c>
      <c r="B193" s="3" t="s">
        <v>143</v>
      </c>
      <c r="C193" s="10">
        <v>6</v>
      </c>
      <c r="D193" s="23" t="s">
        <v>67</v>
      </c>
      <c r="E193" s="10">
        <v>5</v>
      </c>
      <c r="F193" s="10">
        <f t="shared" si="10"/>
        <v>300</v>
      </c>
      <c r="G193" s="10">
        <f t="shared" si="11"/>
        <v>304</v>
      </c>
      <c r="H193" s="10"/>
    </row>
    <row r="194" spans="1:8" x14ac:dyDescent="0.25">
      <c r="A194" s="10">
        <v>138</v>
      </c>
      <c r="B194" s="3" t="s">
        <v>144</v>
      </c>
      <c r="C194" s="10">
        <v>6</v>
      </c>
      <c r="D194" s="23" t="s">
        <v>138</v>
      </c>
      <c r="E194" s="10">
        <v>2</v>
      </c>
      <c r="F194" s="10">
        <f t="shared" si="10"/>
        <v>305</v>
      </c>
      <c r="G194" s="10">
        <f t="shared" si="11"/>
        <v>306</v>
      </c>
      <c r="H194" s="10"/>
    </row>
    <row r="195" spans="1:8" x14ac:dyDescent="0.25">
      <c r="A195" s="10">
        <v>139</v>
      </c>
      <c r="B195" s="3" t="s">
        <v>145</v>
      </c>
      <c r="C195" s="10">
        <v>6</v>
      </c>
      <c r="D195" s="23" t="s">
        <v>139</v>
      </c>
      <c r="E195" s="10">
        <v>2</v>
      </c>
      <c r="F195" s="10">
        <f t="shared" si="10"/>
        <v>307</v>
      </c>
      <c r="G195" s="10">
        <f t="shared" si="11"/>
        <v>308</v>
      </c>
      <c r="H195" s="10"/>
    </row>
    <row r="196" spans="1:8" x14ac:dyDescent="0.25">
      <c r="A196" s="10">
        <v>140</v>
      </c>
      <c r="B196" s="3" t="s">
        <v>555</v>
      </c>
      <c r="C196" s="10">
        <v>6</v>
      </c>
      <c r="D196" s="38" t="s">
        <v>557</v>
      </c>
      <c r="E196" s="10">
        <v>3</v>
      </c>
      <c r="F196" s="10">
        <f t="shared" si="10"/>
        <v>309</v>
      </c>
      <c r="G196" s="10">
        <f t="shared" si="11"/>
        <v>311</v>
      </c>
      <c r="H196" s="10"/>
    </row>
    <row r="197" spans="1:8" x14ac:dyDescent="0.25">
      <c r="A197" s="10">
        <v>141</v>
      </c>
      <c r="B197" s="3" t="s">
        <v>556</v>
      </c>
      <c r="C197" s="10">
        <v>6</v>
      </c>
      <c r="D197" s="38" t="s">
        <v>558</v>
      </c>
      <c r="E197" s="10">
        <v>3</v>
      </c>
      <c r="F197" s="10">
        <f t="shared" si="10"/>
        <v>312</v>
      </c>
      <c r="G197" s="10">
        <f t="shared" si="11"/>
        <v>314</v>
      </c>
      <c r="H197" s="10"/>
    </row>
    <row r="198" spans="1:8" x14ac:dyDescent="0.25">
      <c r="A198" s="10">
        <v>142</v>
      </c>
      <c r="B198" s="3" t="s">
        <v>146</v>
      </c>
      <c r="C198" s="10">
        <v>6</v>
      </c>
      <c r="D198" s="23">
        <v>5</v>
      </c>
      <c r="E198" s="10">
        <v>2</v>
      </c>
      <c r="F198" s="10">
        <f t="shared" si="10"/>
        <v>315</v>
      </c>
      <c r="G198" s="10">
        <f t="shared" si="11"/>
        <v>316</v>
      </c>
      <c r="H198" s="10"/>
    </row>
    <row r="199" spans="1:8" x14ac:dyDescent="0.25">
      <c r="A199" s="10">
        <v>143</v>
      </c>
      <c r="B199" s="3" t="s">
        <v>147</v>
      </c>
      <c r="C199" s="10">
        <v>6</v>
      </c>
      <c r="D199" s="23">
        <v>6</v>
      </c>
      <c r="E199" s="10">
        <v>2</v>
      </c>
      <c r="F199" s="10">
        <f t="shared" si="10"/>
        <v>317</v>
      </c>
      <c r="G199" s="10">
        <f t="shared" si="11"/>
        <v>318</v>
      </c>
      <c r="H199" s="10"/>
    </row>
    <row r="200" spans="1:8" x14ac:dyDescent="0.25">
      <c r="A200" s="10">
        <v>144</v>
      </c>
      <c r="B200" s="3" t="s">
        <v>148</v>
      </c>
      <c r="C200" s="10">
        <v>6</v>
      </c>
      <c r="D200" s="23">
        <v>7</v>
      </c>
      <c r="E200" s="10">
        <v>3</v>
      </c>
      <c r="F200" s="10">
        <f t="shared" si="10"/>
        <v>319</v>
      </c>
      <c r="G200" s="10">
        <f t="shared" si="11"/>
        <v>321</v>
      </c>
      <c r="H200" s="10"/>
    </row>
    <row r="201" spans="1:8" x14ac:dyDescent="0.25">
      <c r="A201" s="10">
        <v>145</v>
      </c>
      <c r="B201" s="3" t="s">
        <v>176</v>
      </c>
      <c r="C201" s="10">
        <v>6</v>
      </c>
      <c r="D201" s="23">
        <v>9</v>
      </c>
      <c r="E201" s="10">
        <v>8</v>
      </c>
      <c r="F201" s="10">
        <f t="shared" si="10"/>
        <v>322</v>
      </c>
      <c r="G201" s="10">
        <f t="shared" si="11"/>
        <v>329</v>
      </c>
      <c r="H201" s="10"/>
    </row>
    <row r="202" spans="1:8" x14ac:dyDescent="0.25">
      <c r="A202" s="10">
        <v>146</v>
      </c>
      <c r="B202" s="3" t="s">
        <v>177</v>
      </c>
      <c r="C202" s="10">
        <v>6</v>
      </c>
      <c r="D202" s="23">
        <v>10</v>
      </c>
      <c r="E202" s="10">
        <v>8</v>
      </c>
      <c r="F202" s="10">
        <f t="shared" si="10"/>
        <v>330</v>
      </c>
      <c r="G202" s="10">
        <f t="shared" si="11"/>
        <v>337</v>
      </c>
      <c r="H202" s="10"/>
    </row>
    <row r="203" spans="1:8" ht="31.5" x14ac:dyDescent="0.25">
      <c r="A203" s="10">
        <v>147</v>
      </c>
      <c r="B203" s="27" t="s">
        <v>594</v>
      </c>
      <c r="C203" s="27"/>
      <c r="D203" s="36"/>
      <c r="E203" s="13">
        <v>3</v>
      </c>
      <c r="F203" s="10">
        <f t="shared" si="10"/>
        <v>338</v>
      </c>
      <c r="G203" s="10">
        <f t="shared" si="11"/>
        <v>340</v>
      </c>
      <c r="H203" s="10"/>
    </row>
    <row r="204" spans="1:8" x14ac:dyDescent="0.25">
      <c r="A204" s="10">
        <v>148</v>
      </c>
      <c r="B204" s="3" t="s">
        <v>560</v>
      </c>
      <c r="C204" s="27"/>
      <c r="D204" s="36"/>
      <c r="E204" s="13">
        <v>10</v>
      </c>
      <c r="F204" s="10">
        <f t="shared" si="10"/>
        <v>341</v>
      </c>
      <c r="G204" s="10">
        <f t="shared" si="11"/>
        <v>350</v>
      </c>
      <c r="H204" s="10"/>
    </row>
    <row r="205" spans="1:8" x14ac:dyDescent="0.25">
      <c r="A205" s="10">
        <v>149</v>
      </c>
      <c r="B205" s="3" t="s">
        <v>586</v>
      </c>
      <c r="C205" s="27"/>
      <c r="D205" s="36"/>
      <c r="E205" s="13">
        <v>3</v>
      </c>
      <c r="F205" s="10">
        <f t="shared" si="10"/>
        <v>351</v>
      </c>
      <c r="G205" s="10">
        <f t="shared" si="11"/>
        <v>353</v>
      </c>
      <c r="H205" s="10" t="s">
        <v>591</v>
      </c>
    </row>
    <row r="206" spans="1:8" x14ac:dyDescent="0.25">
      <c r="A206" s="10">
        <v>150</v>
      </c>
      <c r="B206" s="3" t="s">
        <v>565</v>
      </c>
      <c r="C206" s="27"/>
      <c r="D206" s="36"/>
      <c r="E206" s="13">
        <v>10</v>
      </c>
      <c r="F206" s="10">
        <f t="shared" si="10"/>
        <v>354</v>
      </c>
      <c r="G206" s="10">
        <f t="shared" si="11"/>
        <v>363</v>
      </c>
      <c r="H206" s="10"/>
    </row>
    <row r="207" spans="1:8" x14ac:dyDescent="0.25">
      <c r="A207" s="10">
        <v>151</v>
      </c>
      <c r="B207" s="3" t="s">
        <v>567</v>
      </c>
      <c r="C207" s="27"/>
      <c r="D207" s="37"/>
      <c r="E207" s="13">
        <v>4</v>
      </c>
      <c r="F207" s="10">
        <f t="shared" si="10"/>
        <v>364</v>
      </c>
      <c r="G207" s="10">
        <f t="shared" si="11"/>
        <v>367</v>
      </c>
      <c r="H207" s="10" t="s">
        <v>592</v>
      </c>
    </row>
    <row r="208" spans="1:8" x14ac:dyDescent="0.25">
      <c r="A208" s="10">
        <v>152</v>
      </c>
      <c r="B208" s="3" t="s">
        <v>566</v>
      </c>
      <c r="C208" s="27"/>
      <c r="D208" s="46"/>
      <c r="E208" s="13">
        <v>2</v>
      </c>
      <c r="F208" s="10">
        <f t="shared" si="10"/>
        <v>368</v>
      </c>
      <c r="G208" s="10">
        <f t="shared" si="11"/>
        <v>369</v>
      </c>
      <c r="H208" s="10" t="s">
        <v>593</v>
      </c>
    </row>
    <row r="209" spans="1:8" x14ac:dyDescent="0.25">
      <c r="A209" s="10">
        <v>153</v>
      </c>
      <c r="B209" s="1" t="s">
        <v>595</v>
      </c>
      <c r="C209" s="1"/>
      <c r="D209" s="1"/>
      <c r="E209" s="1">
        <v>2</v>
      </c>
      <c r="F209" s="10">
        <f t="shared" si="10"/>
        <v>370</v>
      </c>
      <c r="G209" s="10">
        <f t="shared" si="11"/>
        <v>371</v>
      </c>
      <c r="H209" s="55" t="s">
        <v>597</v>
      </c>
    </row>
    <row r="210" spans="1:8" x14ac:dyDescent="0.25"/>
    <row r="211" spans="1:8" x14ac:dyDescent="0.25"/>
  </sheetData>
  <mergeCells count="7">
    <mergeCell ref="F3:G3"/>
    <mergeCell ref="C57:D57"/>
    <mergeCell ref="A1:H1"/>
    <mergeCell ref="A2:H2"/>
    <mergeCell ref="A54:H54"/>
    <mergeCell ref="A55:H55"/>
    <mergeCell ref="F56:G56"/>
  </mergeCells>
  <pageMargins left="0.25" right="0.25" top="0.75" bottom="0.75" header="0.3" footer="0.3"/>
  <pageSetup paperSize="9" scale="81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3"/>
  <sheetViews>
    <sheetView showGridLines="0" workbookViewId="0">
      <selection activeCell="B6" sqref="B6"/>
    </sheetView>
  </sheetViews>
  <sheetFormatPr defaultColWidth="0" defaultRowHeight="15" zeroHeight="1" x14ac:dyDescent="0.25"/>
  <cols>
    <col min="1" max="1" width="3.42578125" bestFit="1" customWidth="1"/>
    <col min="2" max="2" width="82.85546875" bestFit="1" customWidth="1"/>
    <col min="3" max="3" width="9.42578125" bestFit="1" customWidth="1"/>
    <col min="4" max="4" width="10.28515625" bestFit="1" customWidth="1"/>
    <col min="5" max="5" width="12" bestFit="1" customWidth="1"/>
    <col min="6" max="7" width="11.140625" customWidth="1"/>
    <col min="8" max="8" width="11.140625" bestFit="1" customWidth="1"/>
    <col min="9" max="9" width="15" style="48" bestFit="1" customWidth="1"/>
    <col min="10" max="10" width="9.140625" customWidth="1"/>
    <col min="11" max="16384" width="9.140625" hidden="1"/>
  </cols>
  <sheetData>
    <row r="1" spans="1:9" x14ac:dyDescent="0.25">
      <c r="A1" s="28" t="s">
        <v>0</v>
      </c>
      <c r="B1" s="28" t="s">
        <v>1</v>
      </c>
      <c r="C1" s="29" t="s">
        <v>2</v>
      </c>
      <c r="D1" s="29" t="s">
        <v>159</v>
      </c>
      <c r="E1" s="29" t="s">
        <v>3</v>
      </c>
      <c r="F1" s="47" t="s">
        <v>576</v>
      </c>
      <c r="G1" s="47" t="s">
        <v>577</v>
      </c>
      <c r="H1" s="47" t="s">
        <v>180</v>
      </c>
      <c r="I1" s="47" t="s">
        <v>149</v>
      </c>
    </row>
    <row r="2" spans="1:9" x14ac:dyDescent="0.25">
      <c r="A2" s="30">
        <v>1</v>
      </c>
      <c r="B2" s="30" t="s">
        <v>150</v>
      </c>
      <c r="C2" s="31"/>
      <c r="D2" s="31"/>
      <c r="E2" s="30">
        <v>5</v>
      </c>
      <c r="F2" s="32">
        <v>1</v>
      </c>
      <c r="G2" s="32">
        <f>E2</f>
        <v>5</v>
      </c>
      <c r="H2" s="52" t="s">
        <v>181</v>
      </c>
      <c r="I2" s="54" t="s">
        <v>559</v>
      </c>
    </row>
    <row r="3" spans="1:9" x14ac:dyDescent="0.25">
      <c r="A3" s="30">
        <v>2</v>
      </c>
      <c r="B3" s="30" t="s">
        <v>23</v>
      </c>
      <c r="C3" s="33">
        <v>1</v>
      </c>
      <c r="D3" s="33">
        <v>2</v>
      </c>
      <c r="E3" s="30">
        <v>3</v>
      </c>
      <c r="F3" s="32">
        <f>G2+1</f>
        <v>6</v>
      </c>
      <c r="G3" s="32">
        <f t="shared" ref="G3:G48" si="0">G2+E3</f>
        <v>8</v>
      </c>
      <c r="H3" s="52" t="s">
        <v>182</v>
      </c>
      <c r="I3" s="54">
        <v>104</v>
      </c>
    </row>
    <row r="4" spans="1:9" x14ac:dyDescent="0.25">
      <c r="A4" s="30">
        <v>3</v>
      </c>
      <c r="B4" s="30" t="s">
        <v>5</v>
      </c>
      <c r="C4" s="33"/>
      <c r="D4" s="33"/>
      <c r="E4" s="30">
        <v>2</v>
      </c>
      <c r="F4" s="32">
        <f t="shared" ref="F4:F48" si="1">G3+1</f>
        <v>9</v>
      </c>
      <c r="G4" s="32">
        <f t="shared" si="0"/>
        <v>10</v>
      </c>
      <c r="H4" s="52" t="s">
        <v>183</v>
      </c>
      <c r="I4" s="54" t="s">
        <v>178</v>
      </c>
    </row>
    <row r="5" spans="1:9" x14ac:dyDescent="0.25">
      <c r="A5" s="30">
        <v>4</v>
      </c>
      <c r="B5" s="30" t="s">
        <v>524</v>
      </c>
      <c r="C5" s="33"/>
      <c r="D5" s="33"/>
      <c r="E5" s="30">
        <v>2</v>
      </c>
      <c r="F5" s="32">
        <f t="shared" si="1"/>
        <v>11</v>
      </c>
      <c r="G5" s="32">
        <f t="shared" si="0"/>
        <v>12</v>
      </c>
      <c r="H5" s="52" t="s">
        <v>525</v>
      </c>
      <c r="I5" s="54" t="s">
        <v>574</v>
      </c>
    </row>
    <row r="6" spans="1:9" x14ac:dyDescent="0.25">
      <c r="A6" s="30">
        <v>5</v>
      </c>
      <c r="B6" s="30" t="s">
        <v>6</v>
      </c>
      <c r="C6" s="33"/>
      <c r="D6" s="33"/>
      <c r="E6" s="30">
        <v>2</v>
      </c>
      <c r="F6" s="32">
        <f t="shared" si="1"/>
        <v>13</v>
      </c>
      <c r="G6" s="32">
        <f t="shared" si="0"/>
        <v>14</v>
      </c>
      <c r="H6" s="52" t="s">
        <v>184</v>
      </c>
      <c r="I6" s="54" t="s">
        <v>581</v>
      </c>
    </row>
    <row r="7" spans="1:9" x14ac:dyDescent="0.25">
      <c r="A7" s="30">
        <v>6</v>
      </c>
      <c r="B7" s="30" t="s">
        <v>7</v>
      </c>
      <c r="C7" s="33">
        <v>1</v>
      </c>
      <c r="D7" s="33">
        <v>3</v>
      </c>
      <c r="E7" s="30">
        <v>1</v>
      </c>
      <c r="F7" s="32">
        <f t="shared" si="1"/>
        <v>15</v>
      </c>
      <c r="G7" s="32">
        <f t="shared" si="0"/>
        <v>15</v>
      </c>
      <c r="H7" s="52" t="s">
        <v>185</v>
      </c>
      <c r="I7" s="54"/>
    </row>
    <row r="8" spans="1:9" x14ac:dyDescent="0.25">
      <c r="A8" s="30">
        <v>7</v>
      </c>
      <c r="B8" s="30" t="s">
        <v>11</v>
      </c>
      <c r="C8" s="33">
        <v>0</v>
      </c>
      <c r="D8" s="33">
        <v>1</v>
      </c>
      <c r="E8" s="30">
        <v>2</v>
      </c>
      <c r="F8" s="32">
        <f t="shared" si="1"/>
        <v>16</v>
      </c>
      <c r="G8" s="32">
        <f t="shared" si="0"/>
        <v>17</v>
      </c>
      <c r="H8" s="52" t="s">
        <v>186</v>
      </c>
      <c r="I8" s="54"/>
    </row>
    <row r="9" spans="1:9" x14ac:dyDescent="0.25">
      <c r="A9" s="30">
        <v>8</v>
      </c>
      <c r="B9" s="35" t="s">
        <v>160</v>
      </c>
      <c r="C9" s="36">
        <v>1</v>
      </c>
      <c r="D9" s="36">
        <v>4</v>
      </c>
      <c r="E9" s="35">
        <v>2</v>
      </c>
      <c r="F9" s="32">
        <f t="shared" si="1"/>
        <v>18</v>
      </c>
      <c r="G9" s="32">
        <f t="shared" si="0"/>
        <v>19</v>
      </c>
      <c r="H9" s="52" t="s">
        <v>187</v>
      </c>
      <c r="I9" s="54"/>
    </row>
    <row r="10" spans="1:9" x14ac:dyDescent="0.25">
      <c r="A10" s="30">
        <v>9</v>
      </c>
      <c r="B10" s="35" t="s">
        <v>31</v>
      </c>
      <c r="C10" s="36">
        <v>1</v>
      </c>
      <c r="D10" s="36">
        <v>4</v>
      </c>
      <c r="E10" s="35">
        <v>3</v>
      </c>
      <c r="F10" s="32">
        <f t="shared" si="1"/>
        <v>20</v>
      </c>
      <c r="G10" s="32">
        <f t="shared" si="0"/>
        <v>22</v>
      </c>
      <c r="H10" s="52" t="s">
        <v>188</v>
      </c>
      <c r="I10" s="54"/>
    </row>
    <row r="11" spans="1:9" x14ac:dyDescent="0.25">
      <c r="A11" s="30">
        <v>10</v>
      </c>
      <c r="B11" s="35" t="s">
        <v>568</v>
      </c>
      <c r="C11" s="36"/>
      <c r="D11" s="46"/>
      <c r="E11" s="46">
        <v>4</v>
      </c>
      <c r="F11" s="32">
        <f t="shared" si="1"/>
        <v>23</v>
      </c>
      <c r="G11" s="32">
        <f t="shared" si="0"/>
        <v>26</v>
      </c>
      <c r="H11" s="53" t="s">
        <v>564</v>
      </c>
      <c r="I11" s="54"/>
    </row>
    <row r="12" spans="1:9" x14ac:dyDescent="0.25">
      <c r="A12" s="30">
        <v>11</v>
      </c>
      <c r="B12" s="30" t="s">
        <v>12</v>
      </c>
      <c r="C12" s="33">
        <v>1</v>
      </c>
      <c r="D12" s="33">
        <v>5</v>
      </c>
      <c r="E12" s="30">
        <v>3</v>
      </c>
      <c r="F12" s="32">
        <f t="shared" si="1"/>
        <v>27</v>
      </c>
      <c r="G12" s="32">
        <f t="shared" si="0"/>
        <v>29</v>
      </c>
      <c r="H12" s="52" t="s">
        <v>189</v>
      </c>
      <c r="I12" s="54"/>
    </row>
    <row r="13" spans="1:9" x14ac:dyDescent="0.25">
      <c r="A13" s="30">
        <v>12</v>
      </c>
      <c r="B13" s="30" t="s">
        <v>578</v>
      </c>
      <c r="C13" s="33"/>
      <c r="D13" s="33"/>
      <c r="E13" s="30">
        <v>1</v>
      </c>
      <c r="F13" s="32">
        <f t="shared" si="1"/>
        <v>30</v>
      </c>
      <c r="G13" s="32">
        <f t="shared" si="0"/>
        <v>30</v>
      </c>
      <c r="H13" s="52" t="s">
        <v>579</v>
      </c>
      <c r="I13" s="54"/>
    </row>
    <row r="14" spans="1:9" x14ac:dyDescent="0.25">
      <c r="A14" s="30">
        <v>13</v>
      </c>
      <c r="B14" s="30" t="s">
        <v>13</v>
      </c>
      <c r="C14" s="33">
        <v>1</v>
      </c>
      <c r="D14" s="33">
        <v>6</v>
      </c>
      <c r="E14" s="30">
        <v>2</v>
      </c>
      <c r="F14" s="32">
        <f t="shared" si="1"/>
        <v>31</v>
      </c>
      <c r="G14" s="32">
        <f t="shared" si="0"/>
        <v>32</v>
      </c>
      <c r="H14" s="52" t="s">
        <v>190</v>
      </c>
      <c r="I14" s="54"/>
    </row>
    <row r="15" spans="1:9" x14ac:dyDescent="0.25">
      <c r="A15" s="30">
        <v>14</v>
      </c>
      <c r="B15" s="30" t="s">
        <v>15</v>
      </c>
      <c r="C15" s="31">
        <v>1</v>
      </c>
      <c r="D15" s="31">
        <v>12</v>
      </c>
      <c r="E15" s="30">
        <v>4</v>
      </c>
      <c r="F15" s="32">
        <f t="shared" si="1"/>
        <v>33</v>
      </c>
      <c r="G15" s="32">
        <f t="shared" si="0"/>
        <v>36</v>
      </c>
      <c r="H15" s="52" t="s">
        <v>192</v>
      </c>
      <c r="I15" s="54"/>
    </row>
    <row r="16" spans="1:9" x14ac:dyDescent="0.25">
      <c r="A16" s="30">
        <v>15</v>
      </c>
      <c r="B16" s="30" t="s">
        <v>151</v>
      </c>
      <c r="C16" s="33">
        <v>1</v>
      </c>
      <c r="D16" s="33">
        <v>1</v>
      </c>
      <c r="E16" s="30">
        <v>5</v>
      </c>
      <c r="F16" s="32">
        <f t="shared" si="1"/>
        <v>37</v>
      </c>
      <c r="G16" s="32">
        <f t="shared" si="0"/>
        <v>41</v>
      </c>
      <c r="H16" s="52" t="s">
        <v>193</v>
      </c>
      <c r="I16" s="54"/>
    </row>
    <row r="17" spans="1:9" x14ac:dyDescent="0.25">
      <c r="A17" s="30">
        <v>16</v>
      </c>
      <c r="B17" s="30" t="s">
        <v>9</v>
      </c>
      <c r="C17" s="33">
        <v>1</v>
      </c>
      <c r="D17" s="33">
        <v>14</v>
      </c>
      <c r="E17" s="30">
        <v>1</v>
      </c>
      <c r="F17" s="32">
        <f t="shared" si="1"/>
        <v>42</v>
      </c>
      <c r="G17" s="32">
        <f t="shared" si="0"/>
        <v>42</v>
      </c>
      <c r="H17" s="52" t="s">
        <v>195</v>
      </c>
      <c r="I17" s="54"/>
    </row>
    <row r="18" spans="1:9" x14ac:dyDescent="0.25">
      <c r="A18" s="30">
        <v>17</v>
      </c>
      <c r="B18" s="30" t="s">
        <v>10</v>
      </c>
      <c r="C18" s="33">
        <v>1</v>
      </c>
      <c r="D18" s="33">
        <v>15</v>
      </c>
      <c r="E18" s="30">
        <v>2</v>
      </c>
      <c r="F18" s="32">
        <f t="shared" si="1"/>
        <v>43</v>
      </c>
      <c r="G18" s="32">
        <f t="shared" si="0"/>
        <v>44</v>
      </c>
      <c r="H18" s="52" t="s">
        <v>196</v>
      </c>
      <c r="I18" s="54"/>
    </row>
    <row r="19" spans="1:9" x14ac:dyDescent="0.25">
      <c r="A19" s="30">
        <v>18</v>
      </c>
      <c r="B19" s="30" t="s">
        <v>24</v>
      </c>
      <c r="C19" s="33">
        <v>1</v>
      </c>
      <c r="D19" s="33">
        <v>9</v>
      </c>
      <c r="E19" s="30">
        <v>2</v>
      </c>
      <c r="F19" s="32">
        <f t="shared" si="1"/>
        <v>45</v>
      </c>
      <c r="G19" s="32">
        <f t="shared" si="0"/>
        <v>46</v>
      </c>
      <c r="H19" s="52" t="s">
        <v>197</v>
      </c>
      <c r="I19" s="54"/>
    </row>
    <row r="20" spans="1:9" x14ac:dyDescent="0.25">
      <c r="A20" s="30">
        <v>19</v>
      </c>
      <c r="B20" s="30" t="s">
        <v>25</v>
      </c>
      <c r="C20" s="33">
        <v>1</v>
      </c>
      <c r="D20" s="33">
        <v>17</v>
      </c>
      <c r="E20" s="30">
        <v>1</v>
      </c>
      <c r="F20" s="32">
        <f t="shared" si="1"/>
        <v>47</v>
      </c>
      <c r="G20" s="32">
        <f t="shared" si="0"/>
        <v>47</v>
      </c>
      <c r="H20" s="52" t="s">
        <v>198</v>
      </c>
      <c r="I20" s="54"/>
    </row>
    <row r="21" spans="1:9" x14ac:dyDescent="0.25">
      <c r="A21" s="30">
        <v>20</v>
      </c>
      <c r="B21" s="30" t="s">
        <v>16</v>
      </c>
      <c r="C21" s="33">
        <v>1</v>
      </c>
      <c r="D21" s="33">
        <v>18</v>
      </c>
      <c r="E21" s="30">
        <v>1</v>
      </c>
      <c r="F21" s="32">
        <f t="shared" si="1"/>
        <v>48</v>
      </c>
      <c r="G21" s="32">
        <f t="shared" si="0"/>
        <v>48</v>
      </c>
      <c r="H21" s="52" t="s">
        <v>199</v>
      </c>
      <c r="I21" s="54"/>
    </row>
    <row r="22" spans="1:9" x14ac:dyDescent="0.25">
      <c r="A22" s="30">
        <v>21</v>
      </c>
      <c r="B22" s="30" t="s">
        <v>27</v>
      </c>
      <c r="C22" s="33">
        <v>1</v>
      </c>
      <c r="D22" s="33">
        <v>19</v>
      </c>
      <c r="E22" s="30">
        <v>1</v>
      </c>
      <c r="F22" s="32">
        <f t="shared" si="1"/>
        <v>49</v>
      </c>
      <c r="G22" s="32">
        <f t="shared" si="0"/>
        <v>49</v>
      </c>
      <c r="H22" s="52" t="s">
        <v>200</v>
      </c>
      <c r="I22" s="54"/>
    </row>
    <row r="23" spans="1:9" x14ac:dyDescent="0.25">
      <c r="A23" s="30">
        <v>22</v>
      </c>
      <c r="B23" s="30" t="s">
        <v>18</v>
      </c>
      <c r="C23" s="33">
        <v>3</v>
      </c>
      <c r="D23" s="33">
        <v>1</v>
      </c>
      <c r="E23" s="30">
        <v>2</v>
      </c>
      <c r="F23" s="32">
        <f t="shared" si="1"/>
        <v>50</v>
      </c>
      <c r="G23" s="32">
        <f t="shared" si="0"/>
        <v>51</v>
      </c>
      <c r="H23" s="52" t="s">
        <v>201</v>
      </c>
      <c r="I23" s="54"/>
    </row>
    <row r="24" spans="1:9" x14ac:dyDescent="0.25">
      <c r="A24" s="30">
        <v>23</v>
      </c>
      <c r="B24" s="30" t="s">
        <v>19</v>
      </c>
      <c r="C24" s="33">
        <v>3</v>
      </c>
      <c r="D24" s="33">
        <v>2</v>
      </c>
      <c r="E24" s="30">
        <v>1</v>
      </c>
      <c r="F24" s="32">
        <f t="shared" si="1"/>
        <v>52</v>
      </c>
      <c r="G24" s="32">
        <f t="shared" si="0"/>
        <v>52</v>
      </c>
      <c r="H24" s="52" t="s">
        <v>202</v>
      </c>
      <c r="I24" s="54"/>
    </row>
    <row r="25" spans="1:9" x14ac:dyDescent="0.25">
      <c r="A25" s="30">
        <v>24</v>
      </c>
      <c r="B25" s="30" t="s">
        <v>20</v>
      </c>
      <c r="C25" s="33">
        <v>3</v>
      </c>
      <c r="D25" s="33">
        <v>3</v>
      </c>
      <c r="E25" s="30">
        <v>1</v>
      </c>
      <c r="F25" s="32">
        <f t="shared" si="1"/>
        <v>53</v>
      </c>
      <c r="G25" s="32">
        <f t="shared" si="0"/>
        <v>53</v>
      </c>
      <c r="H25" s="52" t="s">
        <v>203</v>
      </c>
      <c r="I25" s="54"/>
    </row>
    <row r="26" spans="1:9" x14ac:dyDescent="0.25">
      <c r="A26" s="30">
        <v>25</v>
      </c>
      <c r="B26" s="30" t="s">
        <v>21</v>
      </c>
      <c r="C26" s="33">
        <v>3</v>
      </c>
      <c r="D26" s="33">
        <v>4</v>
      </c>
      <c r="E26" s="30">
        <v>1</v>
      </c>
      <c r="F26" s="32">
        <f t="shared" si="1"/>
        <v>54</v>
      </c>
      <c r="G26" s="32">
        <f t="shared" si="0"/>
        <v>54</v>
      </c>
      <c r="H26" s="52" t="s">
        <v>204</v>
      </c>
      <c r="I26" s="54"/>
    </row>
    <row r="27" spans="1:9" x14ac:dyDescent="0.25">
      <c r="A27" s="30">
        <v>26</v>
      </c>
      <c r="B27" s="31" t="s">
        <v>161</v>
      </c>
      <c r="C27" s="33">
        <v>3</v>
      </c>
      <c r="D27" s="33">
        <v>5.0999999999999996</v>
      </c>
      <c r="E27" s="36">
        <v>10</v>
      </c>
      <c r="F27" s="32">
        <f t="shared" si="1"/>
        <v>55</v>
      </c>
      <c r="G27" s="32">
        <f t="shared" si="0"/>
        <v>64</v>
      </c>
      <c r="H27" s="52" t="s">
        <v>205</v>
      </c>
      <c r="I27" s="54"/>
    </row>
    <row r="28" spans="1:9" x14ac:dyDescent="0.25">
      <c r="A28" s="30">
        <v>27</v>
      </c>
      <c r="B28" s="31" t="s">
        <v>162</v>
      </c>
      <c r="C28" s="33">
        <v>3</v>
      </c>
      <c r="D28" s="33">
        <v>5.2</v>
      </c>
      <c r="E28" s="36">
        <v>10</v>
      </c>
      <c r="F28" s="32">
        <f t="shared" si="1"/>
        <v>65</v>
      </c>
      <c r="G28" s="32">
        <f t="shared" si="0"/>
        <v>74</v>
      </c>
      <c r="H28" s="52" t="s">
        <v>206</v>
      </c>
      <c r="I28" s="54"/>
    </row>
    <row r="29" spans="1:9" x14ac:dyDescent="0.25">
      <c r="A29" s="30">
        <v>28</v>
      </c>
      <c r="B29" s="31" t="s">
        <v>163</v>
      </c>
      <c r="C29" s="33">
        <v>3</v>
      </c>
      <c r="D29" s="33">
        <v>5.3</v>
      </c>
      <c r="E29" s="36">
        <v>10</v>
      </c>
      <c r="F29" s="32">
        <f t="shared" si="1"/>
        <v>75</v>
      </c>
      <c r="G29" s="32">
        <f t="shared" si="0"/>
        <v>84</v>
      </c>
      <c r="H29" s="52" t="s">
        <v>207</v>
      </c>
      <c r="I29" s="54"/>
    </row>
    <row r="30" spans="1:9" x14ac:dyDescent="0.25">
      <c r="A30" s="30">
        <v>29</v>
      </c>
      <c r="B30" s="31" t="s">
        <v>164</v>
      </c>
      <c r="C30" s="33">
        <v>3</v>
      </c>
      <c r="D30" s="33">
        <v>5.4</v>
      </c>
      <c r="E30" s="36">
        <v>10</v>
      </c>
      <c r="F30" s="32">
        <f t="shared" si="1"/>
        <v>85</v>
      </c>
      <c r="G30" s="32">
        <f t="shared" si="0"/>
        <v>94</v>
      </c>
      <c r="H30" s="52" t="s">
        <v>208</v>
      </c>
      <c r="I30" s="54"/>
    </row>
    <row r="31" spans="1:9" x14ac:dyDescent="0.25">
      <c r="A31" s="30">
        <v>30</v>
      </c>
      <c r="B31" s="31" t="s">
        <v>165</v>
      </c>
      <c r="C31" s="33">
        <v>3</v>
      </c>
      <c r="D31" s="33">
        <v>5.5</v>
      </c>
      <c r="E31" s="36">
        <v>10</v>
      </c>
      <c r="F31" s="32">
        <f t="shared" si="1"/>
        <v>95</v>
      </c>
      <c r="G31" s="32">
        <f t="shared" si="0"/>
        <v>104</v>
      </c>
      <c r="H31" s="52" t="s">
        <v>209</v>
      </c>
      <c r="I31" s="54"/>
    </row>
    <row r="32" spans="1:9" x14ac:dyDescent="0.25">
      <c r="A32" s="30">
        <v>31</v>
      </c>
      <c r="B32" s="37" t="s">
        <v>22</v>
      </c>
      <c r="C32" s="36">
        <v>3</v>
      </c>
      <c r="D32" s="36">
        <v>5.6</v>
      </c>
      <c r="E32" s="36">
        <v>10</v>
      </c>
      <c r="F32" s="32">
        <f t="shared" si="1"/>
        <v>105</v>
      </c>
      <c r="G32" s="32">
        <f t="shared" si="0"/>
        <v>114</v>
      </c>
      <c r="H32" s="52" t="s">
        <v>210</v>
      </c>
      <c r="I32" s="54"/>
    </row>
    <row r="33" spans="1:9" x14ac:dyDescent="0.25">
      <c r="A33" s="30">
        <v>32</v>
      </c>
      <c r="B33" s="37" t="s">
        <v>526</v>
      </c>
      <c r="C33" s="36">
        <v>3</v>
      </c>
      <c r="D33" s="36">
        <v>6.1</v>
      </c>
      <c r="E33" s="36">
        <v>2</v>
      </c>
      <c r="F33" s="32">
        <f t="shared" si="1"/>
        <v>115</v>
      </c>
      <c r="G33" s="32">
        <f t="shared" si="0"/>
        <v>116</v>
      </c>
      <c r="H33" s="53" t="s">
        <v>518</v>
      </c>
      <c r="I33" s="54"/>
    </row>
    <row r="34" spans="1:9" x14ac:dyDescent="0.25">
      <c r="A34" s="30">
        <v>33</v>
      </c>
      <c r="B34" s="37" t="s">
        <v>533</v>
      </c>
      <c r="C34" s="36">
        <v>3</v>
      </c>
      <c r="D34" s="36">
        <v>6.2</v>
      </c>
      <c r="E34" s="36">
        <v>2</v>
      </c>
      <c r="F34" s="32">
        <f t="shared" si="1"/>
        <v>117</v>
      </c>
      <c r="G34" s="32">
        <f t="shared" si="0"/>
        <v>118</v>
      </c>
      <c r="H34" s="53" t="s">
        <v>532</v>
      </c>
      <c r="I34" s="54"/>
    </row>
    <row r="35" spans="1:9" x14ac:dyDescent="0.25">
      <c r="A35" s="30">
        <v>34</v>
      </c>
      <c r="B35" s="37" t="s">
        <v>531</v>
      </c>
      <c r="C35" s="36">
        <v>3</v>
      </c>
      <c r="D35" s="36">
        <v>7.1</v>
      </c>
      <c r="E35" s="36">
        <v>10</v>
      </c>
      <c r="F35" s="32">
        <f t="shared" si="1"/>
        <v>119</v>
      </c>
      <c r="G35" s="32">
        <f t="shared" si="0"/>
        <v>128</v>
      </c>
      <c r="H35" s="53" t="s">
        <v>519</v>
      </c>
      <c r="I35" s="54"/>
    </row>
    <row r="36" spans="1:9" x14ac:dyDescent="0.25">
      <c r="A36" s="30">
        <v>35</v>
      </c>
      <c r="B36" s="37" t="s">
        <v>527</v>
      </c>
      <c r="C36" s="36">
        <v>3</v>
      </c>
      <c r="D36" s="36">
        <v>7.2</v>
      </c>
      <c r="E36" s="36">
        <v>10</v>
      </c>
      <c r="F36" s="32">
        <f t="shared" si="1"/>
        <v>129</v>
      </c>
      <c r="G36" s="32">
        <f t="shared" si="0"/>
        <v>138</v>
      </c>
      <c r="H36" s="53" t="s">
        <v>520</v>
      </c>
      <c r="I36" s="54"/>
    </row>
    <row r="37" spans="1:9" x14ac:dyDescent="0.25">
      <c r="A37" s="30">
        <v>36</v>
      </c>
      <c r="B37" s="37" t="s">
        <v>528</v>
      </c>
      <c r="C37" s="36">
        <v>3</v>
      </c>
      <c r="D37" s="36">
        <v>7.3</v>
      </c>
      <c r="E37" s="36">
        <v>10</v>
      </c>
      <c r="F37" s="32">
        <f t="shared" si="1"/>
        <v>139</v>
      </c>
      <c r="G37" s="32">
        <f t="shared" si="0"/>
        <v>148</v>
      </c>
      <c r="H37" s="53" t="s">
        <v>521</v>
      </c>
      <c r="I37" s="54"/>
    </row>
    <row r="38" spans="1:9" x14ac:dyDescent="0.25">
      <c r="A38" s="30">
        <v>37</v>
      </c>
      <c r="B38" s="37" t="s">
        <v>529</v>
      </c>
      <c r="C38" s="36">
        <v>3</v>
      </c>
      <c r="D38" s="36">
        <v>7.4</v>
      </c>
      <c r="E38" s="36">
        <v>10</v>
      </c>
      <c r="F38" s="32">
        <f t="shared" si="1"/>
        <v>149</v>
      </c>
      <c r="G38" s="32">
        <f t="shared" si="0"/>
        <v>158</v>
      </c>
      <c r="H38" s="53" t="s">
        <v>522</v>
      </c>
      <c r="I38" s="54"/>
    </row>
    <row r="39" spans="1:9" x14ac:dyDescent="0.25">
      <c r="A39" s="30">
        <v>38</v>
      </c>
      <c r="B39" s="37" t="s">
        <v>530</v>
      </c>
      <c r="C39" s="36">
        <v>3</v>
      </c>
      <c r="D39" s="36">
        <v>7.5</v>
      </c>
      <c r="E39" s="36">
        <v>10</v>
      </c>
      <c r="F39" s="32">
        <f t="shared" si="1"/>
        <v>159</v>
      </c>
      <c r="G39" s="32">
        <f t="shared" si="0"/>
        <v>168</v>
      </c>
      <c r="H39" s="53" t="s">
        <v>523</v>
      </c>
      <c r="I39" s="54"/>
    </row>
    <row r="40" spans="1:9" x14ac:dyDescent="0.25">
      <c r="A40" s="30">
        <v>39</v>
      </c>
      <c r="B40" s="35" t="s">
        <v>26</v>
      </c>
      <c r="C40" s="36">
        <v>1</v>
      </c>
      <c r="D40" s="36">
        <v>16</v>
      </c>
      <c r="E40" s="35">
        <v>2</v>
      </c>
      <c r="F40" s="32">
        <f t="shared" si="1"/>
        <v>169</v>
      </c>
      <c r="G40" s="32">
        <f t="shared" si="0"/>
        <v>170</v>
      </c>
      <c r="H40" s="52" t="s">
        <v>211</v>
      </c>
      <c r="I40" s="54"/>
    </row>
    <row r="41" spans="1:9" x14ac:dyDescent="0.25">
      <c r="A41" s="30">
        <v>40</v>
      </c>
      <c r="B41" s="35" t="s">
        <v>28</v>
      </c>
      <c r="C41" s="36">
        <v>2</v>
      </c>
      <c r="D41" s="36" t="s">
        <v>29</v>
      </c>
      <c r="E41" s="35">
        <v>10</v>
      </c>
      <c r="F41" s="32">
        <f t="shared" si="1"/>
        <v>171</v>
      </c>
      <c r="G41" s="32">
        <f t="shared" si="0"/>
        <v>180</v>
      </c>
      <c r="H41" s="52" t="s">
        <v>212</v>
      </c>
      <c r="I41" s="54"/>
    </row>
    <row r="42" spans="1:9" x14ac:dyDescent="0.25">
      <c r="A42" s="30">
        <v>41</v>
      </c>
      <c r="B42" s="35" t="s">
        <v>17</v>
      </c>
      <c r="C42" s="36">
        <v>2</v>
      </c>
      <c r="D42" s="36">
        <v>4</v>
      </c>
      <c r="E42" s="35">
        <v>4</v>
      </c>
      <c r="F42" s="32">
        <f t="shared" si="1"/>
        <v>181</v>
      </c>
      <c r="G42" s="32">
        <f t="shared" si="0"/>
        <v>184</v>
      </c>
      <c r="H42" s="52" t="s">
        <v>213</v>
      </c>
      <c r="I42" s="54"/>
    </row>
    <row r="43" spans="1:9" x14ac:dyDescent="0.25">
      <c r="A43" s="30">
        <v>42</v>
      </c>
      <c r="B43" s="35" t="s">
        <v>594</v>
      </c>
      <c r="C43" s="36"/>
      <c r="D43" s="36"/>
      <c r="E43" s="35">
        <v>3</v>
      </c>
      <c r="F43" s="32">
        <f t="shared" si="1"/>
        <v>185</v>
      </c>
      <c r="G43" s="32">
        <f t="shared" si="0"/>
        <v>187</v>
      </c>
      <c r="H43" s="52" t="s">
        <v>215</v>
      </c>
      <c r="I43" s="54"/>
    </row>
    <row r="44" spans="1:9" x14ac:dyDescent="0.25">
      <c r="A44" s="30">
        <v>43</v>
      </c>
      <c r="B44" s="35" t="s">
        <v>560</v>
      </c>
      <c r="C44" s="36"/>
      <c r="D44" s="36"/>
      <c r="E44" s="35">
        <v>10</v>
      </c>
      <c r="F44" s="32">
        <f t="shared" si="1"/>
        <v>188</v>
      </c>
      <c r="G44" s="32">
        <f t="shared" si="0"/>
        <v>197</v>
      </c>
      <c r="H44" s="52" t="s">
        <v>216</v>
      </c>
      <c r="I44" s="54"/>
    </row>
    <row r="45" spans="1:9" x14ac:dyDescent="0.25">
      <c r="A45" s="30">
        <v>44</v>
      </c>
      <c r="B45" s="35" t="s">
        <v>586</v>
      </c>
      <c r="C45" s="36"/>
      <c r="D45" s="36"/>
      <c r="E45" s="35">
        <v>3</v>
      </c>
      <c r="F45" s="32">
        <f t="shared" si="1"/>
        <v>198</v>
      </c>
      <c r="G45" s="32">
        <f t="shared" si="0"/>
        <v>200</v>
      </c>
      <c r="H45" s="52" t="s">
        <v>575</v>
      </c>
      <c r="I45" s="54"/>
    </row>
    <row r="46" spans="1:9" x14ac:dyDescent="0.25">
      <c r="A46" s="30">
        <v>45</v>
      </c>
      <c r="B46" s="35" t="s">
        <v>565</v>
      </c>
      <c r="C46" s="36"/>
      <c r="D46" s="36"/>
      <c r="E46" s="35">
        <v>10</v>
      </c>
      <c r="F46" s="32">
        <f t="shared" si="1"/>
        <v>201</v>
      </c>
      <c r="G46" s="32">
        <f t="shared" si="0"/>
        <v>210</v>
      </c>
      <c r="H46" s="53" t="s">
        <v>561</v>
      </c>
      <c r="I46" s="54"/>
    </row>
    <row r="47" spans="1:9" x14ac:dyDescent="0.25">
      <c r="A47" s="30">
        <v>46</v>
      </c>
      <c r="B47" s="35" t="s">
        <v>567</v>
      </c>
      <c r="C47" s="36"/>
      <c r="D47" s="37"/>
      <c r="E47" s="35">
        <v>4</v>
      </c>
      <c r="F47" s="32">
        <f t="shared" si="1"/>
        <v>211</v>
      </c>
      <c r="G47" s="32">
        <f t="shared" si="0"/>
        <v>214</v>
      </c>
      <c r="H47" s="53" t="s">
        <v>562</v>
      </c>
      <c r="I47" s="54"/>
    </row>
    <row r="48" spans="1:9" x14ac:dyDescent="0.25">
      <c r="A48" s="30">
        <v>47</v>
      </c>
      <c r="B48" s="35" t="s">
        <v>566</v>
      </c>
      <c r="C48" s="36"/>
      <c r="D48" s="46"/>
      <c r="E48" s="46">
        <v>2</v>
      </c>
      <c r="F48" s="32">
        <f t="shared" si="1"/>
        <v>215</v>
      </c>
      <c r="G48" s="32">
        <f t="shared" si="0"/>
        <v>216</v>
      </c>
      <c r="H48" s="53" t="s">
        <v>563</v>
      </c>
      <c r="I48" s="54"/>
    </row>
    <row r="49" spans="1:9" x14ac:dyDescent="0.25">
      <c r="A49" s="30">
        <v>48</v>
      </c>
      <c r="B49" s="35" t="s">
        <v>595</v>
      </c>
      <c r="C49" s="46"/>
      <c r="D49" s="46"/>
      <c r="E49" s="35">
        <v>2</v>
      </c>
      <c r="F49" s="32">
        <f t="shared" ref="F49" si="2">G48+1</f>
        <v>217</v>
      </c>
      <c r="G49" s="32">
        <f t="shared" ref="G49" si="3">G48+E49</f>
        <v>218</v>
      </c>
      <c r="H49" s="53" t="s">
        <v>599</v>
      </c>
      <c r="I49" s="54" t="s">
        <v>597</v>
      </c>
    </row>
    <row r="50" spans="1:9" x14ac:dyDescent="0.25"/>
    <row r="51" spans="1:9" x14ac:dyDescent="0.25"/>
    <row r="52" spans="1:9" x14ac:dyDescent="0.25"/>
    <row r="53" spans="1:9" x14ac:dyDescent="0.25"/>
  </sheetData>
  <sheetProtection sheet="1" objects="1" scenario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59"/>
  <sheetViews>
    <sheetView showGridLines="0" zoomScaleNormal="100" workbookViewId="0">
      <selection activeCell="B7" sqref="B7"/>
    </sheetView>
  </sheetViews>
  <sheetFormatPr defaultColWidth="0" defaultRowHeight="15" zeroHeight="1" x14ac:dyDescent="0.25"/>
  <cols>
    <col min="1" max="1" width="4" bestFit="1" customWidth="1"/>
    <col min="2" max="2" width="68.5703125" bestFit="1" customWidth="1"/>
    <col min="3" max="3" width="9.42578125" bestFit="1" customWidth="1"/>
    <col min="4" max="4" width="10.28515625" bestFit="1" customWidth="1"/>
    <col min="5" max="5" width="12" bestFit="1" customWidth="1"/>
    <col min="6" max="7" width="11.140625" customWidth="1"/>
    <col min="8" max="8" width="15.7109375" bestFit="1" customWidth="1"/>
    <col min="9" max="9" width="49.5703125" bestFit="1" customWidth="1"/>
    <col min="10" max="10" width="9.140625" customWidth="1"/>
    <col min="11" max="16384" width="9.140625" hidden="1"/>
  </cols>
  <sheetData>
    <row r="1" spans="1:9" x14ac:dyDescent="0.25">
      <c r="A1" s="28" t="s">
        <v>0</v>
      </c>
      <c r="B1" s="28" t="s">
        <v>1</v>
      </c>
      <c r="C1" s="29" t="s">
        <v>2</v>
      </c>
      <c r="D1" s="29" t="s">
        <v>159</v>
      </c>
      <c r="E1" s="29" t="s">
        <v>3</v>
      </c>
      <c r="F1" s="47" t="s">
        <v>576</v>
      </c>
      <c r="G1" s="47" t="s">
        <v>577</v>
      </c>
      <c r="H1" s="47" t="s">
        <v>180</v>
      </c>
      <c r="I1" s="28" t="s">
        <v>149</v>
      </c>
    </row>
    <row r="2" spans="1:9" x14ac:dyDescent="0.25">
      <c r="A2" s="30">
        <v>1</v>
      </c>
      <c r="B2" s="30" t="s">
        <v>150</v>
      </c>
      <c r="C2" s="34"/>
      <c r="D2" s="30"/>
      <c r="E2" s="30">
        <v>5</v>
      </c>
      <c r="F2" s="32">
        <v>1</v>
      </c>
      <c r="G2" s="32">
        <f>E2</f>
        <v>5</v>
      </c>
      <c r="H2" s="52" t="s">
        <v>181</v>
      </c>
      <c r="I2" s="46" t="s">
        <v>580</v>
      </c>
    </row>
    <row r="3" spans="1:9" x14ac:dyDescent="0.25">
      <c r="A3" s="30">
        <v>2</v>
      </c>
      <c r="B3" s="30" t="s">
        <v>23</v>
      </c>
      <c r="C3" s="38">
        <v>1</v>
      </c>
      <c r="D3" s="38">
        <v>2</v>
      </c>
      <c r="E3" s="30">
        <v>3</v>
      </c>
      <c r="F3" s="32">
        <f>G2+1</f>
        <v>6</v>
      </c>
      <c r="G3" s="32">
        <f t="shared" ref="G3:G66" si="0">G2+E3</f>
        <v>8</v>
      </c>
      <c r="H3" s="52" t="s">
        <v>182</v>
      </c>
      <c r="I3" s="54">
        <v>104</v>
      </c>
    </row>
    <row r="4" spans="1:9" x14ac:dyDescent="0.25">
      <c r="A4" s="30">
        <v>3</v>
      </c>
      <c r="B4" s="30" t="s">
        <v>5</v>
      </c>
      <c r="C4" s="38"/>
      <c r="D4" s="38"/>
      <c r="E4" s="30">
        <v>2</v>
      </c>
      <c r="F4" s="32">
        <f t="shared" ref="F4:F69" si="1">G3+1</f>
        <v>9</v>
      </c>
      <c r="G4" s="32">
        <f t="shared" si="0"/>
        <v>10</v>
      </c>
      <c r="H4" s="52" t="s">
        <v>183</v>
      </c>
      <c r="I4" s="54" t="s">
        <v>178</v>
      </c>
    </row>
    <row r="5" spans="1:9" x14ac:dyDescent="0.25">
      <c r="A5" s="30">
        <v>4</v>
      </c>
      <c r="B5" s="30" t="s">
        <v>524</v>
      </c>
      <c r="C5" s="38"/>
      <c r="D5" s="38"/>
      <c r="E5" s="30">
        <v>2</v>
      </c>
      <c r="F5" s="32">
        <f t="shared" si="1"/>
        <v>11</v>
      </c>
      <c r="G5" s="32">
        <f t="shared" si="0"/>
        <v>12</v>
      </c>
      <c r="H5" s="52" t="s">
        <v>525</v>
      </c>
      <c r="I5" s="54" t="s">
        <v>574</v>
      </c>
    </row>
    <row r="6" spans="1:9" x14ac:dyDescent="0.25">
      <c r="A6" s="30">
        <v>5</v>
      </c>
      <c r="B6" s="30" t="s">
        <v>6</v>
      </c>
      <c r="C6" s="38"/>
      <c r="D6" s="38"/>
      <c r="E6" s="30">
        <v>2</v>
      </c>
      <c r="F6" s="32">
        <f t="shared" si="1"/>
        <v>13</v>
      </c>
      <c r="G6" s="32">
        <f t="shared" si="0"/>
        <v>14</v>
      </c>
      <c r="H6" s="52" t="s">
        <v>184</v>
      </c>
      <c r="I6" s="54" t="s">
        <v>581</v>
      </c>
    </row>
    <row r="7" spans="1:9" x14ac:dyDescent="0.25">
      <c r="A7" s="30">
        <v>6</v>
      </c>
      <c r="B7" s="30" t="s">
        <v>7</v>
      </c>
      <c r="C7" s="38">
        <v>1</v>
      </c>
      <c r="D7" s="38">
        <v>3</v>
      </c>
      <c r="E7" s="30">
        <v>1</v>
      </c>
      <c r="F7" s="32">
        <f t="shared" si="1"/>
        <v>15</v>
      </c>
      <c r="G7" s="32">
        <f t="shared" si="0"/>
        <v>15</v>
      </c>
      <c r="H7" s="52" t="s">
        <v>185</v>
      </c>
      <c r="I7" s="46"/>
    </row>
    <row r="8" spans="1:9" x14ac:dyDescent="0.25">
      <c r="A8" s="30">
        <v>7</v>
      </c>
      <c r="B8" s="30" t="s">
        <v>11</v>
      </c>
      <c r="C8" s="30"/>
      <c r="D8" s="30"/>
      <c r="E8" s="30">
        <v>2</v>
      </c>
      <c r="F8" s="32">
        <f t="shared" si="1"/>
        <v>16</v>
      </c>
      <c r="G8" s="32">
        <f t="shared" si="0"/>
        <v>17</v>
      </c>
      <c r="H8" s="52" t="s">
        <v>186</v>
      </c>
      <c r="I8" s="46"/>
    </row>
    <row r="9" spans="1:9" x14ac:dyDescent="0.25">
      <c r="A9" s="30">
        <v>8</v>
      </c>
      <c r="B9" s="35" t="s">
        <v>160</v>
      </c>
      <c r="C9" s="36">
        <v>1</v>
      </c>
      <c r="D9" s="36">
        <v>4</v>
      </c>
      <c r="E9" s="30">
        <v>2</v>
      </c>
      <c r="F9" s="32">
        <f t="shared" si="1"/>
        <v>18</v>
      </c>
      <c r="G9" s="32">
        <f t="shared" si="0"/>
        <v>19</v>
      </c>
      <c r="H9" s="52" t="s">
        <v>187</v>
      </c>
      <c r="I9" s="46"/>
    </row>
    <row r="10" spans="1:9" x14ac:dyDescent="0.25">
      <c r="A10" s="30">
        <v>9</v>
      </c>
      <c r="B10" s="35" t="s">
        <v>31</v>
      </c>
      <c r="C10" s="39">
        <v>1</v>
      </c>
      <c r="D10" s="39">
        <v>4</v>
      </c>
      <c r="E10" s="30">
        <v>3</v>
      </c>
      <c r="F10" s="32">
        <f t="shared" si="1"/>
        <v>20</v>
      </c>
      <c r="G10" s="32">
        <f t="shared" si="0"/>
        <v>22</v>
      </c>
      <c r="H10" s="52" t="s">
        <v>188</v>
      </c>
      <c r="I10" s="46"/>
    </row>
    <row r="11" spans="1:9" x14ac:dyDescent="0.25">
      <c r="A11" s="30">
        <v>10</v>
      </c>
      <c r="B11" s="35" t="s">
        <v>568</v>
      </c>
      <c r="C11" s="36"/>
      <c r="D11" s="46"/>
      <c r="E11" s="46">
        <v>4</v>
      </c>
      <c r="F11" s="32">
        <f t="shared" si="1"/>
        <v>23</v>
      </c>
      <c r="G11" s="32">
        <f t="shared" si="0"/>
        <v>26</v>
      </c>
      <c r="H11" s="53" t="s">
        <v>564</v>
      </c>
      <c r="I11" s="46"/>
    </row>
    <row r="12" spans="1:9" x14ac:dyDescent="0.25">
      <c r="A12" s="30">
        <v>11</v>
      </c>
      <c r="B12" s="30" t="s">
        <v>12</v>
      </c>
      <c r="C12" s="33">
        <v>1</v>
      </c>
      <c r="D12" s="33">
        <v>5</v>
      </c>
      <c r="E12" s="30">
        <v>3</v>
      </c>
      <c r="F12" s="32">
        <f t="shared" si="1"/>
        <v>27</v>
      </c>
      <c r="G12" s="32">
        <f t="shared" si="0"/>
        <v>29</v>
      </c>
      <c r="H12" s="52" t="s">
        <v>189</v>
      </c>
      <c r="I12" s="46"/>
    </row>
    <row r="13" spans="1:9" x14ac:dyDescent="0.25">
      <c r="A13" s="30">
        <v>12</v>
      </c>
      <c r="B13" s="30" t="s">
        <v>578</v>
      </c>
      <c r="C13" s="33"/>
      <c r="D13" s="33"/>
      <c r="E13" s="30">
        <v>1</v>
      </c>
      <c r="F13" s="32">
        <f t="shared" si="1"/>
        <v>30</v>
      </c>
      <c r="G13" s="32">
        <f t="shared" si="0"/>
        <v>30</v>
      </c>
      <c r="H13" s="52" t="s">
        <v>579</v>
      </c>
      <c r="I13" s="46"/>
    </row>
    <row r="14" spans="1:9" x14ac:dyDescent="0.25">
      <c r="A14" s="30">
        <v>13</v>
      </c>
      <c r="B14" s="30" t="s">
        <v>13</v>
      </c>
      <c r="C14" s="30">
        <v>1</v>
      </c>
      <c r="D14" s="30">
        <v>6</v>
      </c>
      <c r="E14" s="30">
        <v>2</v>
      </c>
      <c r="F14" s="32">
        <f t="shared" si="1"/>
        <v>31</v>
      </c>
      <c r="G14" s="32">
        <f t="shared" si="0"/>
        <v>32</v>
      </c>
      <c r="H14" s="52" t="s">
        <v>190</v>
      </c>
      <c r="I14" s="46"/>
    </row>
    <row r="15" spans="1:9" x14ac:dyDescent="0.25">
      <c r="A15" s="30">
        <v>14</v>
      </c>
      <c r="B15" s="30" t="s">
        <v>15</v>
      </c>
      <c r="C15" s="30">
        <v>1</v>
      </c>
      <c r="D15" s="30">
        <v>12</v>
      </c>
      <c r="E15" s="30">
        <v>4</v>
      </c>
      <c r="F15" s="32">
        <f t="shared" si="1"/>
        <v>33</v>
      </c>
      <c r="G15" s="32">
        <f t="shared" si="0"/>
        <v>36</v>
      </c>
      <c r="H15" s="52" t="s">
        <v>192</v>
      </c>
      <c r="I15" s="46"/>
    </row>
    <row r="16" spans="1:9" x14ac:dyDescent="0.25">
      <c r="A16" s="30">
        <v>15</v>
      </c>
      <c r="B16" s="30" t="s">
        <v>151</v>
      </c>
      <c r="C16" s="30">
        <v>1</v>
      </c>
      <c r="D16" s="30">
        <v>1</v>
      </c>
      <c r="E16" s="30">
        <v>5</v>
      </c>
      <c r="F16" s="32">
        <f t="shared" si="1"/>
        <v>37</v>
      </c>
      <c r="G16" s="32">
        <f t="shared" si="0"/>
        <v>41</v>
      </c>
      <c r="H16" s="52" t="s">
        <v>193</v>
      </c>
      <c r="I16" s="46"/>
    </row>
    <row r="17" spans="1:9" x14ac:dyDescent="0.25">
      <c r="A17" s="30">
        <v>16</v>
      </c>
      <c r="B17" s="30" t="s">
        <v>9</v>
      </c>
      <c r="C17" s="30">
        <v>1</v>
      </c>
      <c r="D17" s="30">
        <v>14</v>
      </c>
      <c r="E17" s="30">
        <v>1</v>
      </c>
      <c r="F17" s="32">
        <f t="shared" si="1"/>
        <v>42</v>
      </c>
      <c r="G17" s="32">
        <f t="shared" si="0"/>
        <v>42</v>
      </c>
      <c r="H17" s="52" t="s">
        <v>195</v>
      </c>
      <c r="I17" s="46"/>
    </row>
    <row r="18" spans="1:9" x14ac:dyDescent="0.25">
      <c r="A18" s="30">
        <v>17</v>
      </c>
      <c r="B18" s="30" t="s">
        <v>10</v>
      </c>
      <c r="C18" s="30">
        <v>1</v>
      </c>
      <c r="D18" s="30">
        <v>15</v>
      </c>
      <c r="E18" s="30">
        <v>2</v>
      </c>
      <c r="F18" s="32">
        <f t="shared" si="1"/>
        <v>43</v>
      </c>
      <c r="G18" s="32">
        <f t="shared" si="0"/>
        <v>44</v>
      </c>
      <c r="H18" s="52" t="s">
        <v>196</v>
      </c>
      <c r="I18" s="46"/>
    </row>
    <row r="19" spans="1:9" x14ac:dyDescent="0.25">
      <c r="A19" s="30">
        <v>18</v>
      </c>
      <c r="B19" s="30" t="s">
        <v>32</v>
      </c>
      <c r="C19" s="30">
        <v>4</v>
      </c>
      <c r="D19" s="30">
        <v>1</v>
      </c>
      <c r="E19" s="30">
        <v>2</v>
      </c>
      <c r="F19" s="32">
        <f t="shared" si="1"/>
        <v>45</v>
      </c>
      <c r="G19" s="32">
        <f t="shared" si="0"/>
        <v>46</v>
      </c>
      <c r="H19" s="52" t="s">
        <v>218</v>
      </c>
      <c r="I19" s="46"/>
    </row>
    <row r="20" spans="1:9" x14ac:dyDescent="0.25">
      <c r="A20" s="30">
        <v>19</v>
      </c>
      <c r="B20" s="30" t="s">
        <v>33</v>
      </c>
      <c r="C20" s="30">
        <v>4</v>
      </c>
      <c r="D20" s="30">
        <v>4</v>
      </c>
      <c r="E20" s="30">
        <v>1</v>
      </c>
      <c r="F20" s="32">
        <f t="shared" si="1"/>
        <v>47</v>
      </c>
      <c r="G20" s="32">
        <f t="shared" si="0"/>
        <v>47</v>
      </c>
      <c r="H20" s="52" t="s">
        <v>219</v>
      </c>
      <c r="I20" s="46"/>
    </row>
    <row r="21" spans="1:9" x14ac:dyDescent="0.25">
      <c r="A21" s="30">
        <v>20</v>
      </c>
      <c r="B21" s="30" t="s">
        <v>220</v>
      </c>
      <c r="C21" s="30">
        <v>4</v>
      </c>
      <c r="D21" s="30">
        <v>5</v>
      </c>
      <c r="E21" s="30">
        <v>1</v>
      </c>
      <c r="F21" s="32">
        <f t="shared" si="1"/>
        <v>48</v>
      </c>
      <c r="G21" s="32">
        <f t="shared" si="0"/>
        <v>48</v>
      </c>
      <c r="H21" s="52" t="s">
        <v>221</v>
      </c>
      <c r="I21" s="46"/>
    </row>
    <row r="22" spans="1:9" x14ac:dyDescent="0.25">
      <c r="A22" s="30">
        <v>21</v>
      </c>
      <c r="B22" s="30" t="s">
        <v>34</v>
      </c>
      <c r="C22" s="30">
        <v>4</v>
      </c>
      <c r="D22" s="30">
        <v>6</v>
      </c>
      <c r="E22" s="30">
        <v>3</v>
      </c>
      <c r="F22" s="32">
        <f t="shared" si="1"/>
        <v>49</v>
      </c>
      <c r="G22" s="32">
        <f t="shared" si="0"/>
        <v>51</v>
      </c>
      <c r="H22" s="52" t="s">
        <v>222</v>
      </c>
      <c r="I22" s="46"/>
    </row>
    <row r="23" spans="1:9" x14ac:dyDescent="0.25">
      <c r="A23" s="30">
        <v>22</v>
      </c>
      <c r="B23" s="30" t="s">
        <v>35</v>
      </c>
      <c r="C23" s="30">
        <v>4</v>
      </c>
      <c r="D23" s="30">
        <v>7</v>
      </c>
      <c r="E23" s="30">
        <v>1</v>
      </c>
      <c r="F23" s="32">
        <f t="shared" si="1"/>
        <v>52</v>
      </c>
      <c r="G23" s="32">
        <f t="shared" si="0"/>
        <v>52</v>
      </c>
      <c r="H23" s="52" t="s">
        <v>223</v>
      </c>
      <c r="I23" s="46"/>
    </row>
    <row r="24" spans="1:9" x14ac:dyDescent="0.25">
      <c r="A24" s="30">
        <v>23</v>
      </c>
      <c r="B24" s="30" t="s">
        <v>36</v>
      </c>
      <c r="C24" s="30">
        <v>4</v>
      </c>
      <c r="D24" s="30">
        <v>8</v>
      </c>
      <c r="E24" s="30">
        <v>2</v>
      </c>
      <c r="F24" s="32">
        <f t="shared" si="1"/>
        <v>53</v>
      </c>
      <c r="G24" s="32">
        <f t="shared" si="0"/>
        <v>54</v>
      </c>
      <c r="H24" s="52" t="s">
        <v>224</v>
      </c>
      <c r="I24" s="46"/>
    </row>
    <row r="25" spans="1:9" x14ac:dyDescent="0.25">
      <c r="A25" s="30">
        <v>24</v>
      </c>
      <c r="B25" s="30" t="s">
        <v>37</v>
      </c>
      <c r="C25" s="30">
        <v>4</v>
      </c>
      <c r="D25" s="30">
        <v>9</v>
      </c>
      <c r="E25" s="30">
        <v>2</v>
      </c>
      <c r="F25" s="32">
        <f t="shared" si="1"/>
        <v>55</v>
      </c>
      <c r="G25" s="32">
        <f t="shared" si="0"/>
        <v>56</v>
      </c>
      <c r="H25" s="52" t="s">
        <v>225</v>
      </c>
      <c r="I25" s="46"/>
    </row>
    <row r="26" spans="1:9" x14ac:dyDescent="0.25">
      <c r="A26" s="30">
        <v>25</v>
      </c>
      <c r="B26" s="30" t="s">
        <v>546</v>
      </c>
      <c r="C26" s="30">
        <v>4</v>
      </c>
      <c r="D26" s="30">
        <v>10</v>
      </c>
      <c r="E26" s="30">
        <v>2</v>
      </c>
      <c r="F26" s="32">
        <f t="shared" si="1"/>
        <v>57</v>
      </c>
      <c r="G26" s="32">
        <f t="shared" si="0"/>
        <v>58</v>
      </c>
      <c r="H26" s="53" t="s">
        <v>539</v>
      </c>
      <c r="I26" s="46"/>
    </row>
    <row r="27" spans="1:9" x14ac:dyDescent="0.25">
      <c r="A27" s="30">
        <v>26</v>
      </c>
      <c r="B27" s="30" t="s">
        <v>547</v>
      </c>
      <c r="C27" s="30">
        <v>4</v>
      </c>
      <c r="D27" s="30">
        <v>11</v>
      </c>
      <c r="E27" s="30">
        <v>1</v>
      </c>
      <c r="F27" s="32">
        <f t="shared" si="1"/>
        <v>59</v>
      </c>
      <c r="G27" s="32">
        <f t="shared" si="0"/>
        <v>59</v>
      </c>
      <c r="H27" s="53" t="s">
        <v>535</v>
      </c>
      <c r="I27" s="46"/>
    </row>
    <row r="28" spans="1:9" x14ac:dyDescent="0.25">
      <c r="A28" s="30">
        <v>27</v>
      </c>
      <c r="B28" s="30" t="s">
        <v>548</v>
      </c>
      <c r="C28" s="30">
        <v>4</v>
      </c>
      <c r="D28" s="30">
        <v>12</v>
      </c>
      <c r="E28" s="30">
        <v>2</v>
      </c>
      <c r="F28" s="32">
        <f t="shared" si="1"/>
        <v>60</v>
      </c>
      <c r="G28" s="32">
        <f t="shared" si="0"/>
        <v>61</v>
      </c>
      <c r="H28" s="53" t="s">
        <v>536</v>
      </c>
      <c r="I28" s="46"/>
    </row>
    <row r="29" spans="1:9" x14ac:dyDescent="0.25">
      <c r="A29" s="30">
        <v>28</v>
      </c>
      <c r="B29" s="30" t="s">
        <v>549</v>
      </c>
      <c r="C29" s="30">
        <v>4</v>
      </c>
      <c r="D29" s="30">
        <v>13</v>
      </c>
      <c r="E29" s="30">
        <v>1</v>
      </c>
      <c r="F29" s="32">
        <f t="shared" si="1"/>
        <v>62</v>
      </c>
      <c r="G29" s="32">
        <f t="shared" si="0"/>
        <v>62</v>
      </c>
      <c r="H29" s="53" t="s">
        <v>537</v>
      </c>
      <c r="I29" s="46"/>
    </row>
    <row r="30" spans="1:9" x14ac:dyDescent="0.25">
      <c r="A30" s="30">
        <v>29</v>
      </c>
      <c r="B30" s="30" t="s">
        <v>550</v>
      </c>
      <c r="C30" s="30">
        <v>4</v>
      </c>
      <c r="D30" s="30">
        <v>14</v>
      </c>
      <c r="E30" s="30">
        <v>2</v>
      </c>
      <c r="F30" s="32">
        <f t="shared" si="1"/>
        <v>63</v>
      </c>
      <c r="G30" s="32">
        <f t="shared" si="0"/>
        <v>64</v>
      </c>
      <c r="H30" s="53" t="s">
        <v>538</v>
      </c>
      <c r="I30" s="46"/>
    </row>
    <row r="31" spans="1:9" x14ac:dyDescent="0.25">
      <c r="A31" s="30">
        <v>30</v>
      </c>
      <c r="B31" s="30" t="s">
        <v>39</v>
      </c>
      <c r="C31" s="30">
        <v>4</v>
      </c>
      <c r="D31" s="30">
        <v>15</v>
      </c>
      <c r="E31" s="30">
        <v>2</v>
      </c>
      <c r="F31" s="32">
        <f t="shared" si="1"/>
        <v>65</v>
      </c>
      <c r="G31" s="32">
        <f t="shared" si="0"/>
        <v>66</v>
      </c>
      <c r="H31" s="53" t="s">
        <v>227</v>
      </c>
      <c r="I31" s="46" t="s">
        <v>583</v>
      </c>
    </row>
    <row r="32" spans="1:9" x14ac:dyDescent="0.25">
      <c r="A32" s="30">
        <v>31</v>
      </c>
      <c r="B32" s="30" t="s">
        <v>551</v>
      </c>
      <c r="C32" s="30">
        <v>4</v>
      </c>
      <c r="D32" s="30">
        <v>16</v>
      </c>
      <c r="E32" s="30">
        <v>2</v>
      </c>
      <c r="F32" s="32">
        <f t="shared" si="1"/>
        <v>67</v>
      </c>
      <c r="G32" s="32">
        <f t="shared" si="0"/>
        <v>68</v>
      </c>
      <c r="H32" s="53" t="s">
        <v>540</v>
      </c>
      <c r="I32" s="46"/>
    </row>
    <row r="33" spans="1:9" x14ac:dyDescent="0.25">
      <c r="A33" s="30">
        <v>32</v>
      </c>
      <c r="B33" s="30" t="s">
        <v>40</v>
      </c>
      <c r="C33" s="30">
        <v>4</v>
      </c>
      <c r="D33" s="30">
        <v>17</v>
      </c>
      <c r="E33" s="30">
        <v>1</v>
      </c>
      <c r="F33" s="32">
        <f t="shared" si="1"/>
        <v>69</v>
      </c>
      <c r="G33" s="32">
        <f t="shared" si="0"/>
        <v>69</v>
      </c>
      <c r="H33" s="52" t="s">
        <v>228</v>
      </c>
      <c r="I33" s="46"/>
    </row>
    <row r="34" spans="1:9" x14ac:dyDescent="0.25">
      <c r="A34" s="30">
        <v>33</v>
      </c>
      <c r="B34" s="30" t="s">
        <v>552</v>
      </c>
      <c r="C34" s="30">
        <v>4</v>
      </c>
      <c r="D34" s="30">
        <v>18</v>
      </c>
      <c r="E34" s="30">
        <v>1</v>
      </c>
      <c r="F34" s="32">
        <f t="shared" si="1"/>
        <v>70</v>
      </c>
      <c r="G34" s="32">
        <f t="shared" si="0"/>
        <v>70</v>
      </c>
      <c r="H34" s="53" t="s">
        <v>541</v>
      </c>
      <c r="I34" s="46" t="s">
        <v>584</v>
      </c>
    </row>
    <row r="35" spans="1:9" x14ac:dyDescent="0.25">
      <c r="A35" s="30">
        <v>34</v>
      </c>
      <c r="B35" s="30" t="s">
        <v>553</v>
      </c>
      <c r="C35" s="30">
        <v>4</v>
      </c>
      <c r="D35" s="30">
        <v>19</v>
      </c>
      <c r="E35" s="30">
        <v>1</v>
      </c>
      <c r="F35" s="32">
        <f t="shared" si="1"/>
        <v>71</v>
      </c>
      <c r="G35" s="32">
        <f t="shared" si="0"/>
        <v>71</v>
      </c>
      <c r="H35" s="53" t="s">
        <v>542</v>
      </c>
      <c r="I35" s="46" t="s">
        <v>584</v>
      </c>
    </row>
    <row r="36" spans="1:9" x14ac:dyDescent="0.25">
      <c r="A36" s="30">
        <v>35</v>
      </c>
      <c r="B36" s="30" t="s">
        <v>41</v>
      </c>
      <c r="C36" s="30">
        <v>4.0999999999999996</v>
      </c>
      <c r="D36" s="30">
        <v>3</v>
      </c>
      <c r="E36" s="30">
        <v>1</v>
      </c>
      <c r="F36" s="32">
        <f t="shared" si="1"/>
        <v>72</v>
      </c>
      <c r="G36" s="32">
        <f t="shared" si="0"/>
        <v>72</v>
      </c>
      <c r="H36" s="52" t="s">
        <v>229</v>
      </c>
      <c r="I36" s="46" t="s">
        <v>582</v>
      </c>
    </row>
    <row r="37" spans="1:9" x14ac:dyDescent="0.25">
      <c r="A37" s="30">
        <v>36</v>
      </c>
      <c r="B37" s="30" t="s">
        <v>42</v>
      </c>
      <c r="C37" s="30">
        <v>4.0999999999999996</v>
      </c>
      <c r="D37" s="30">
        <v>4</v>
      </c>
      <c r="E37" s="30">
        <v>2</v>
      </c>
      <c r="F37" s="32">
        <f t="shared" si="1"/>
        <v>73</v>
      </c>
      <c r="G37" s="32">
        <f t="shared" si="0"/>
        <v>74</v>
      </c>
      <c r="H37" s="52" t="s">
        <v>230</v>
      </c>
      <c r="I37" s="46"/>
    </row>
    <row r="38" spans="1:9" x14ac:dyDescent="0.25">
      <c r="A38" s="30">
        <v>37</v>
      </c>
      <c r="B38" s="30" t="s">
        <v>43</v>
      </c>
      <c r="C38" s="30">
        <v>4.0999999999999996</v>
      </c>
      <c r="D38" s="30">
        <v>5</v>
      </c>
      <c r="E38" s="30">
        <v>1</v>
      </c>
      <c r="F38" s="32">
        <f t="shared" si="1"/>
        <v>75</v>
      </c>
      <c r="G38" s="32">
        <f t="shared" si="0"/>
        <v>75</v>
      </c>
      <c r="H38" s="52" t="s">
        <v>231</v>
      </c>
      <c r="I38" s="46"/>
    </row>
    <row r="39" spans="1:9" x14ac:dyDescent="0.25">
      <c r="A39" s="30">
        <v>38</v>
      </c>
      <c r="B39" s="30" t="s">
        <v>44</v>
      </c>
      <c r="C39" s="30">
        <v>4.0999999999999996</v>
      </c>
      <c r="D39" s="30">
        <v>6</v>
      </c>
      <c r="E39" s="30">
        <v>1</v>
      </c>
      <c r="F39" s="32">
        <f t="shared" si="1"/>
        <v>76</v>
      </c>
      <c r="G39" s="32">
        <f t="shared" si="0"/>
        <v>76</v>
      </c>
      <c r="H39" s="52" t="s">
        <v>232</v>
      </c>
      <c r="I39" s="46"/>
    </row>
    <row r="40" spans="1:9" x14ac:dyDescent="0.25">
      <c r="A40" s="30">
        <v>39</v>
      </c>
      <c r="B40" s="30" t="s">
        <v>45</v>
      </c>
      <c r="C40" s="30">
        <v>4.0999999999999996</v>
      </c>
      <c r="D40" s="30">
        <v>7</v>
      </c>
      <c r="E40" s="30">
        <v>1</v>
      </c>
      <c r="F40" s="32">
        <f t="shared" si="1"/>
        <v>77</v>
      </c>
      <c r="G40" s="32">
        <f t="shared" si="0"/>
        <v>77</v>
      </c>
      <c r="H40" s="52" t="s">
        <v>233</v>
      </c>
      <c r="I40" s="46"/>
    </row>
    <row r="41" spans="1:9" x14ac:dyDescent="0.25">
      <c r="A41" s="30">
        <v>40</v>
      </c>
      <c r="B41" s="30" t="s">
        <v>554</v>
      </c>
      <c r="C41" s="30">
        <v>4.0999999999999996</v>
      </c>
      <c r="D41" s="30">
        <v>8</v>
      </c>
      <c r="E41" s="30">
        <v>1</v>
      </c>
      <c r="F41" s="32">
        <f t="shared" si="1"/>
        <v>78</v>
      </c>
      <c r="G41" s="32">
        <f t="shared" si="0"/>
        <v>78</v>
      </c>
      <c r="H41" s="53" t="s">
        <v>543</v>
      </c>
      <c r="I41" s="46"/>
    </row>
    <row r="42" spans="1:9" x14ac:dyDescent="0.25">
      <c r="A42" s="30">
        <v>41</v>
      </c>
      <c r="B42" s="30" t="s">
        <v>46</v>
      </c>
      <c r="C42" s="30">
        <v>5.0999999999999996</v>
      </c>
      <c r="D42" s="30">
        <v>3</v>
      </c>
      <c r="E42" s="30">
        <v>2</v>
      </c>
      <c r="F42" s="32">
        <f t="shared" si="1"/>
        <v>79</v>
      </c>
      <c r="G42" s="32">
        <f t="shared" si="0"/>
        <v>80</v>
      </c>
      <c r="H42" s="52" t="s">
        <v>234</v>
      </c>
      <c r="I42" s="46"/>
    </row>
    <row r="43" spans="1:9" x14ac:dyDescent="0.25">
      <c r="A43" s="30">
        <v>42</v>
      </c>
      <c r="B43" s="30" t="s">
        <v>155</v>
      </c>
      <c r="C43" s="30">
        <v>5.0999999999999996</v>
      </c>
      <c r="D43" s="30">
        <v>5</v>
      </c>
      <c r="E43" s="30">
        <v>5</v>
      </c>
      <c r="F43" s="32">
        <f t="shared" si="1"/>
        <v>81</v>
      </c>
      <c r="G43" s="32">
        <f t="shared" si="0"/>
        <v>85</v>
      </c>
      <c r="H43" s="52" t="s">
        <v>235</v>
      </c>
      <c r="I43" s="46"/>
    </row>
    <row r="44" spans="1:9" x14ac:dyDescent="0.25">
      <c r="A44" s="30">
        <v>43</v>
      </c>
      <c r="B44" s="30" t="s">
        <v>156</v>
      </c>
      <c r="C44" s="30">
        <v>5.0999999999999996</v>
      </c>
      <c r="D44" s="30">
        <v>6</v>
      </c>
      <c r="E44" s="30">
        <v>3</v>
      </c>
      <c r="F44" s="32">
        <f t="shared" si="1"/>
        <v>86</v>
      </c>
      <c r="G44" s="32">
        <f t="shared" si="0"/>
        <v>88</v>
      </c>
      <c r="H44" s="52" t="s">
        <v>236</v>
      </c>
      <c r="I44" s="46"/>
    </row>
    <row r="45" spans="1:9" x14ac:dyDescent="0.25">
      <c r="A45" s="30">
        <v>44</v>
      </c>
      <c r="B45" s="30" t="s">
        <v>47</v>
      </c>
      <c r="C45" s="30">
        <v>5.0999999999999996</v>
      </c>
      <c r="D45" s="30">
        <v>7</v>
      </c>
      <c r="E45" s="30">
        <v>1</v>
      </c>
      <c r="F45" s="32">
        <f t="shared" si="1"/>
        <v>89</v>
      </c>
      <c r="G45" s="32">
        <f t="shared" si="0"/>
        <v>89</v>
      </c>
      <c r="H45" s="52" t="s">
        <v>237</v>
      </c>
      <c r="I45" s="46"/>
    </row>
    <row r="46" spans="1:9" x14ac:dyDescent="0.25">
      <c r="A46" s="30">
        <v>45</v>
      </c>
      <c r="B46" s="30" t="s">
        <v>49</v>
      </c>
      <c r="C46" s="30">
        <v>5.0999999999999996</v>
      </c>
      <c r="D46" s="30">
        <v>8</v>
      </c>
      <c r="E46" s="30">
        <v>2</v>
      </c>
      <c r="F46" s="32">
        <f t="shared" si="1"/>
        <v>90</v>
      </c>
      <c r="G46" s="32">
        <f t="shared" si="0"/>
        <v>91</v>
      </c>
      <c r="H46" s="52" t="s">
        <v>238</v>
      </c>
      <c r="I46" s="46"/>
    </row>
    <row r="47" spans="1:9" x14ac:dyDescent="0.25">
      <c r="A47" s="30">
        <v>46</v>
      </c>
      <c r="B47" s="30" t="s">
        <v>50</v>
      </c>
      <c r="C47" s="30">
        <v>5.0999999999999996</v>
      </c>
      <c r="D47" s="30">
        <v>9</v>
      </c>
      <c r="E47" s="30">
        <v>2</v>
      </c>
      <c r="F47" s="32">
        <f t="shared" si="1"/>
        <v>92</v>
      </c>
      <c r="G47" s="32">
        <f t="shared" si="0"/>
        <v>93</v>
      </c>
      <c r="H47" s="52" t="s">
        <v>239</v>
      </c>
      <c r="I47" s="46"/>
    </row>
    <row r="48" spans="1:9" x14ac:dyDescent="0.25">
      <c r="A48" s="30">
        <v>47</v>
      </c>
      <c r="B48" s="30" t="s">
        <v>51</v>
      </c>
      <c r="C48" s="30">
        <v>5.0999999999999996</v>
      </c>
      <c r="D48" s="30">
        <v>10</v>
      </c>
      <c r="E48" s="30">
        <v>1</v>
      </c>
      <c r="F48" s="32">
        <f t="shared" si="1"/>
        <v>94</v>
      </c>
      <c r="G48" s="32">
        <f t="shared" si="0"/>
        <v>94</v>
      </c>
      <c r="H48" s="52" t="s">
        <v>240</v>
      </c>
      <c r="I48" s="46"/>
    </row>
    <row r="49" spans="1:9" x14ac:dyDescent="0.25">
      <c r="A49" s="30">
        <v>48</v>
      </c>
      <c r="B49" s="30" t="s">
        <v>52</v>
      </c>
      <c r="C49" s="30">
        <v>5.0999999999999996</v>
      </c>
      <c r="D49" s="30">
        <v>11</v>
      </c>
      <c r="E49" s="30">
        <v>1</v>
      </c>
      <c r="F49" s="32">
        <f t="shared" si="1"/>
        <v>95</v>
      </c>
      <c r="G49" s="32">
        <f t="shared" si="0"/>
        <v>95</v>
      </c>
      <c r="H49" s="52" t="s">
        <v>241</v>
      </c>
      <c r="I49" s="46"/>
    </row>
    <row r="50" spans="1:9" x14ac:dyDescent="0.25">
      <c r="A50" s="30">
        <v>49</v>
      </c>
      <c r="B50" s="30" t="s">
        <v>53</v>
      </c>
      <c r="C50" s="30">
        <v>5.0999999999999996</v>
      </c>
      <c r="D50" s="30">
        <v>12</v>
      </c>
      <c r="E50" s="30">
        <v>1</v>
      </c>
      <c r="F50" s="32">
        <f t="shared" si="1"/>
        <v>96</v>
      </c>
      <c r="G50" s="32">
        <f t="shared" si="0"/>
        <v>96</v>
      </c>
      <c r="H50" s="52" t="s">
        <v>242</v>
      </c>
      <c r="I50" s="46"/>
    </row>
    <row r="51" spans="1:9" x14ac:dyDescent="0.25">
      <c r="A51" s="30">
        <v>50</v>
      </c>
      <c r="B51" s="30" t="s">
        <v>54</v>
      </c>
      <c r="C51" s="30">
        <v>5.0999999999999996</v>
      </c>
      <c r="D51" s="30">
        <v>13</v>
      </c>
      <c r="E51" s="30">
        <v>1</v>
      </c>
      <c r="F51" s="32">
        <f t="shared" si="1"/>
        <v>97</v>
      </c>
      <c r="G51" s="32">
        <f t="shared" si="0"/>
        <v>97</v>
      </c>
      <c r="H51" s="52" t="s">
        <v>243</v>
      </c>
      <c r="I51" s="46"/>
    </row>
    <row r="52" spans="1:9" x14ac:dyDescent="0.25">
      <c r="A52" s="30">
        <v>51</v>
      </c>
      <c r="B52" s="30" t="s">
        <v>166</v>
      </c>
      <c r="C52" s="30">
        <v>5.0999999999999996</v>
      </c>
      <c r="D52" s="30">
        <v>14</v>
      </c>
      <c r="E52" s="30">
        <v>1</v>
      </c>
      <c r="F52" s="32">
        <f t="shared" si="1"/>
        <v>98</v>
      </c>
      <c r="G52" s="32">
        <f t="shared" si="0"/>
        <v>98</v>
      </c>
      <c r="H52" s="52" t="s">
        <v>244</v>
      </c>
      <c r="I52" s="46"/>
    </row>
    <row r="53" spans="1:9" x14ac:dyDescent="0.25">
      <c r="A53" s="30">
        <v>52</v>
      </c>
      <c r="B53" s="30" t="s">
        <v>46</v>
      </c>
      <c r="C53" s="30">
        <v>5.2</v>
      </c>
      <c r="D53" s="30">
        <v>3</v>
      </c>
      <c r="E53" s="30">
        <v>2</v>
      </c>
      <c r="F53" s="32">
        <f t="shared" si="1"/>
        <v>99</v>
      </c>
      <c r="G53" s="32">
        <f t="shared" si="0"/>
        <v>100</v>
      </c>
      <c r="H53" s="52" t="s">
        <v>245</v>
      </c>
      <c r="I53" s="46"/>
    </row>
    <row r="54" spans="1:9" x14ac:dyDescent="0.25">
      <c r="A54" s="30">
        <v>53</v>
      </c>
      <c r="B54" s="30" t="s">
        <v>155</v>
      </c>
      <c r="C54" s="30">
        <v>5.2</v>
      </c>
      <c r="D54" s="30">
        <v>5</v>
      </c>
      <c r="E54" s="30">
        <v>5</v>
      </c>
      <c r="F54" s="32">
        <f t="shared" si="1"/>
        <v>101</v>
      </c>
      <c r="G54" s="32">
        <f t="shared" si="0"/>
        <v>105</v>
      </c>
      <c r="H54" s="52" t="s">
        <v>246</v>
      </c>
      <c r="I54" s="46"/>
    </row>
    <row r="55" spans="1:9" x14ac:dyDescent="0.25">
      <c r="A55" s="30">
        <v>54</v>
      </c>
      <c r="B55" s="30" t="s">
        <v>156</v>
      </c>
      <c r="C55" s="30">
        <v>5.2</v>
      </c>
      <c r="D55" s="30">
        <v>6</v>
      </c>
      <c r="E55" s="30">
        <v>3</v>
      </c>
      <c r="F55" s="32">
        <f t="shared" si="1"/>
        <v>106</v>
      </c>
      <c r="G55" s="32">
        <f t="shared" si="0"/>
        <v>108</v>
      </c>
      <c r="H55" s="52" t="s">
        <v>247</v>
      </c>
      <c r="I55" s="46"/>
    </row>
    <row r="56" spans="1:9" x14ac:dyDescent="0.25">
      <c r="A56" s="30">
        <v>55</v>
      </c>
      <c r="B56" s="30" t="s">
        <v>55</v>
      </c>
      <c r="C56" s="30">
        <v>5.2</v>
      </c>
      <c r="D56" s="30">
        <v>7</v>
      </c>
      <c r="E56" s="30">
        <v>2</v>
      </c>
      <c r="F56" s="32">
        <f t="shared" si="1"/>
        <v>109</v>
      </c>
      <c r="G56" s="32">
        <f t="shared" si="0"/>
        <v>110</v>
      </c>
      <c r="H56" s="52" t="s">
        <v>248</v>
      </c>
      <c r="I56" s="46"/>
    </row>
    <row r="57" spans="1:9" x14ac:dyDescent="0.25">
      <c r="A57" s="30">
        <v>56</v>
      </c>
      <c r="B57" s="30" t="s">
        <v>56</v>
      </c>
      <c r="C57" s="30">
        <v>5.2</v>
      </c>
      <c r="D57" s="30">
        <v>8</v>
      </c>
      <c r="E57" s="30">
        <v>2</v>
      </c>
      <c r="F57" s="32">
        <f t="shared" si="1"/>
        <v>111</v>
      </c>
      <c r="G57" s="32">
        <f t="shared" si="0"/>
        <v>112</v>
      </c>
      <c r="H57" s="52" t="s">
        <v>249</v>
      </c>
      <c r="I57" s="46"/>
    </row>
    <row r="58" spans="1:9" x14ac:dyDescent="0.25">
      <c r="A58" s="30">
        <v>57</v>
      </c>
      <c r="B58" s="30" t="s">
        <v>57</v>
      </c>
      <c r="C58" s="30">
        <v>5.2</v>
      </c>
      <c r="D58" s="30">
        <v>9</v>
      </c>
      <c r="E58" s="30">
        <v>1</v>
      </c>
      <c r="F58" s="32">
        <f t="shared" si="1"/>
        <v>113</v>
      </c>
      <c r="G58" s="32">
        <f t="shared" si="0"/>
        <v>113</v>
      </c>
      <c r="H58" s="52" t="s">
        <v>250</v>
      </c>
      <c r="I58" s="46"/>
    </row>
    <row r="59" spans="1:9" x14ac:dyDescent="0.25">
      <c r="A59" s="30">
        <v>58</v>
      </c>
      <c r="B59" s="30" t="s">
        <v>58</v>
      </c>
      <c r="C59" s="30">
        <v>5.2</v>
      </c>
      <c r="D59" s="30">
        <v>10</v>
      </c>
      <c r="E59" s="30">
        <v>1</v>
      </c>
      <c r="F59" s="32">
        <f t="shared" si="1"/>
        <v>114</v>
      </c>
      <c r="G59" s="32">
        <f t="shared" si="0"/>
        <v>114</v>
      </c>
      <c r="H59" s="52" t="s">
        <v>251</v>
      </c>
      <c r="I59" s="46"/>
    </row>
    <row r="60" spans="1:9" x14ac:dyDescent="0.25">
      <c r="A60" s="30">
        <v>59</v>
      </c>
      <c r="B60" s="30" t="s">
        <v>59</v>
      </c>
      <c r="C60" s="30">
        <v>5.2</v>
      </c>
      <c r="D60" s="30">
        <v>11</v>
      </c>
      <c r="E60" s="30">
        <v>1</v>
      </c>
      <c r="F60" s="32">
        <f t="shared" si="1"/>
        <v>115</v>
      </c>
      <c r="G60" s="32">
        <f t="shared" si="0"/>
        <v>115</v>
      </c>
      <c r="H60" s="52" t="s">
        <v>252</v>
      </c>
      <c r="I60" s="46"/>
    </row>
    <row r="61" spans="1:9" x14ac:dyDescent="0.25">
      <c r="A61" s="30">
        <v>60</v>
      </c>
      <c r="B61" s="30" t="s">
        <v>60</v>
      </c>
      <c r="C61" s="30">
        <v>5.2</v>
      </c>
      <c r="D61" s="30">
        <v>12</v>
      </c>
      <c r="E61" s="30">
        <v>1</v>
      </c>
      <c r="F61" s="32">
        <f t="shared" si="1"/>
        <v>116</v>
      </c>
      <c r="G61" s="32">
        <f t="shared" si="0"/>
        <v>116</v>
      </c>
      <c r="H61" s="52" t="s">
        <v>253</v>
      </c>
      <c r="I61" s="46"/>
    </row>
    <row r="62" spans="1:9" x14ac:dyDescent="0.25">
      <c r="A62" s="30">
        <v>61</v>
      </c>
      <c r="B62" s="30" t="s">
        <v>167</v>
      </c>
      <c r="C62" s="30">
        <v>5.2</v>
      </c>
      <c r="D62" s="30">
        <v>13</v>
      </c>
      <c r="E62" s="30">
        <v>1</v>
      </c>
      <c r="F62" s="32">
        <f t="shared" si="1"/>
        <v>117</v>
      </c>
      <c r="G62" s="32">
        <f t="shared" si="0"/>
        <v>117</v>
      </c>
      <c r="H62" s="52" t="s">
        <v>254</v>
      </c>
      <c r="I62" s="46"/>
    </row>
    <row r="63" spans="1:9" x14ac:dyDescent="0.25">
      <c r="A63" s="30">
        <v>62</v>
      </c>
      <c r="B63" s="30" t="s">
        <v>168</v>
      </c>
      <c r="C63" s="30">
        <v>5.3</v>
      </c>
      <c r="D63" s="30">
        <v>5</v>
      </c>
      <c r="E63" s="30">
        <v>1</v>
      </c>
      <c r="F63" s="32">
        <f t="shared" si="1"/>
        <v>118</v>
      </c>
      <c r="G63" s="32">
        <f t="shared" si="0"/>
        <v>118</v>
      </c>
      <c r="H63" s="52" t="s">
        <v>255</v>
      </c>
      <c r="I63" s="46"/>
    </row>
    <row r="64" spans="1:9" x14ac:dyDescent="0.25">
      <c r="A64" s="30">
        <v>63</v>
      </c>
      <c r="B64" s="30" t="s">
        <v>169</v>
      </c>
      <c r="C64" s="30">
        <v>5.3</v>
      </c>
      <c r="D64" s="30">
        <v>6</v>
      </c>
      <c r="E64" s="30">
        <v>1</v>
      </c>
      <c r="F64" s="32">
        <f t="shared" si="1"/>
        <v>119</v>
      </c>
      <c r="G64" s="32">
        <f t="shared" si="0"/>
        <v>119</v>
      </c>
      <c r="H64" s="52" t="s">
        <v>256</v>
      </c>
      <c r="I64" s="46"/>
    </row>
    <row r="65" spans="1:9" x14ac:dyDescent="0.25">
      <c r="A65" s="30">
        <v>64</v>
      </c>
      <c r="B65" s="30" t="s">
        <v>170</v>
      </c>
      <c r="C65" s="30">
        <v>5.3</v>
      </c>
      <c r="D65" s="30">
        <v>7</v>
      </c>
      <c r="E65" s="30">
        <v>1</v>
      </c>
      <c r="F65" s="32">
        <f t="shared" si="1"/>
        <v>120</v>
      </c>
      <c r="G65" s="32">
        <f t="shared" si="0"/>
        <v>120</v>
      </c>
      <c r="H65" s="52" t="s">
        <v>257</v>
      </c>
      <c r="I65" s="46"/>
    </row>
    <row r="66" spans="1:9" x14ac:dyDescent="0.25">
      <c r="A66" s="30">
        <v>65</v>
      </c>
      <c r="B66" s="30" t="s">
        <v>171</v>
      </c>
      <c r="C66" s="30">
        <v>5.3</v>
      </c>
      <c r="D66" s="30">
        <v>8</v>
      </c>
      <c r="E66" s="30">
        <v>1</v>
      </c>
      <c r="F66" s="32">
        <f t="shared" si="1"/>
        <v>121</v>
      </c>
      <c r="G66" s="32">
        <f t="shared" si="0"/>
        <v>121</v>
      </c>
      <c r="H66" s="52" t="s">
        <v>258</v>
      </c>
      <c r="I66" s="46"/>
    </row>
    <row r="67" spans="1:9" x14ac:dyDescent="0.25">
      <c r="A67" s="30">
        <v>66</v>
      </c>
      <c r="B67" s="30" t="s">
        <v>172</v>
      </c>
      <c r="C67" s="30">
        <v>5.3</v>
      </c>
      <c r="D67" s="30">
        <v>9</v>
      </c>
      <c r="E67" s="30">
        <v>1</v>
      </c>
      <c r="F67" s="32">
        <f t="shared" si="1"/>
        <v>122</v>
      </c>
      <c r="G67" s="32">
        <f t="shared" ref="G67:G130" si="2">G66+E67</f>
        <v>122</v>
      </c>
      <c r="H67" s="52" t="s">
        <v>259</v>
      </c>
      <c r="I67" s="46"/>
    </row>
    <row r="68" spans="1:9" x14ac:dyDescent="0.25">
      <c r="A68" s="30">
        <v>67</v>
      </c>
      <c r="B68" s="30" t="s">
        <v>173</v>
      </c>
      <c r="C68" s="30">
        <v>5.3</v>
      </c>
      <c r="D68" s="30">
        <v>10</v>
      </c>
      <c r="E68" s="30">
        <v>1</v>
      </c>
      <c r="F68" s="32">
        <f t="shared" si="1"/>
        <v>123</v>
      </c>
      <c r="G68" s="32">
        <f t="shared" si="2"/>
        <v>123</v>
      </c>
      <c r="H68" s="52" t="s">
        <v>260</v>
      </c>
      <c r="I68" s="46"/>
    </row>
    <row r="69" spans="1:9" x14ac:dyDescent="0.25">
      <c r="A69" s="30">
        <v>68</v>
      </c>
      <c r="B69" s="40" t="s">
        <v>174</v>
      </c>
      <c r="C69" s="40">
        <v>5.3</v>
      </c>
      <c r="D69" s="40">
        <v>11</v>
      </c>
      <c r="E69" s="40">
        <v>2</v>
      </c>
      <c r="F69" s="32">
        <f t="shared" si="1"/>
        <v>124</v>
      </c>
      <c r="G69" s="32">
        <f t="shared" si="2"/>
        <v>125</v>
      </c>
      <c r="H69" s="52" t="s">
        <v>261</v>
      </c>
      <c r="I69" s="46"/>
    </row>
    <row r="70" spans="1:9" x14ac:dyDescent="0.25">
      <c r="A70" s="30">
        <v>69</v>
      </c>
      <c r="B70" s="30" t="s">
        <v>175</v>
      </c>
      <c r="C70" s="30">
        <v>5.3</v>
      </c>
      <c r="D70" s="30">
        <v>12</v>
      </c>
      <c r="E70" s="30">
        <v>1</v>
      </c>
      <c r="F70" s="32">
        <f t="shared" ref="F70:F133" si="3">G69+1</f>
        <v>126</v>
      </c>
      <c r="G70" s="32">
        <f t="shared" si="2"/>
        <v>126</v>
      </c>
      <c r="H70" s="52" t="s">
        <v>262</v>
      </c>
      <c r="I70" s="46"/>
    </row>
    <row r="71" spans="1:9" x14ac:dyDescent="0.25">
      <c r="A71" s="30">
        <v>70</v>
      </c>
      <c r="B71" s="30" t="s">
        <v>61</v>
      </c>
      <c r="C71" s="30">
        <v>6</v>
      </c>
      <c r="D71" s="38" t="s">
        <v>69</v>
      </c>
      <c r="E71" s="30">
        <v>2</v>
      </c>
      <c r="F71" s="32">
        <f t="shared" si="3"/>
        <v>127</v>
      </c>
      <c r="G71" s="32">
        <f t="shared" si="2"/>
        <v>128</v>
      </c>
      <c r="H71" s="52" t="s">
        <v>263</v>
      </c>
      <c r="I71" s="46"/>
    </row>
    <row r="72" spans="1:9" x14ac:dyDescent="0.25">
      <c r="A72" s="30">
        <v>71</v>
      </c>
      <c r="B72" s="30" t="s">
        <v>157</v>
      </c>
      <c r="C72" s="30">
        <v>6</v>
      </c>
      <c r="D72" s="38" t="s">
        <v>70</v>
      </c>
      <c r="E72" s="30">
        <v>2</v>
      </c>
      <c r="F72" s="32">
        <f t="shared" si="3"/>
        <v>129</v>
      </c>
      <c r="G72" s="32">
        <f t="shared" si="2"/>
        <v>130</v>
      </c>
      <c r="H72" s="52" t="s">
        <v>264</v>
      </c>
      <c r="I72" s="46"/>
    </row>
    <row r="73" spans="1:9" x14ac:dyDescent="0.25">
      <c r="A73" s="30">
        <v>72</v>
      </c>
      <c r="B73" s="30" t="s">
        <v>74</v>
      </c>
      <c r="C73" s="30">
        <v>6</v>
      </c>
      <c r="D73" s="38" t="s">
        <v>63</v>
      </c>
      <c r="E73" s="30">
        <v>2</v>
      </c>
      <c r="F73" s="32">
        <f t="shared" si="3"/>
        <v>131</v>
      </c>
      <c r="G73" s="32">
        <f t="shared" si="2"/>
        <v>132</v>
      </c>
      <c r="H73" s="52" t="s">
        <v>265</v>
      </c>
      <c r="I73" s="46"/>
    </row>
    <row r="74" spans="1:9" x14ac:dyDescent="0.25">
      <c r="A74" s="30">
        <v>73</v>
      </c>
      <c r="B74" s="30" t="s">
        <v>73</v>
      </c>
      <c r="C74" s="30">
        <v>6</v>
      </c>
      <c r="D74" s="38" t="s">
        <v>66</v>
      </c>
      <c r="E74" s="30">
        <v>5</v>
      </c>
      <c r="F74" s="32">
        <f t="shared" si="3"/>
        <v>133</v>
      </c>
      <c r="G74" s="32">
        <f t="shared" si="2"/>
        <v>137</v>
      </c>
      <c r="H74" s="52" t="s">
        <v>266</v>
      </c>
      <c r="I74" s="46"/>
    </row>
    <row r="75" spans="1:9" x14ac:dyDescent="0.25">
      <c r="A75" s="30">
        <v>74</v>
      </c>
      <c r="B75" s="30" t="s">
        <v>62</v>
      </c>
      <c r="C75" s="30">
        <v>6</v>
      </c>
      <c r="D75" s="38" t="s">
        <v>69</v>
      </c>
      <c r="E75" s="30">
        <v>2</v>
      </c>
      <c r="F75" s="32">
        <f t="shared" si="3"/>
        <v>138</v>
      </c>
      <c r="G75" s="32">
        <f t="shared" si="2"/>
        <v>139</v>
      </c>
      <c r="H75" s="52" t="s">
        <v>267</v>
      </c>
      <c r="I75" s="46"/>
    </row>
    <row r="76" spans="1:9" x14ac:dyDescent="0.25">
      <c r="A76" s="30">
        <v>75</v>
      </c>
      <c r="B76" s="30" t="s">
        <v>158</v>
      </c>
      <c r="C76" s="30">
        <v>6</v>
      </c>
      <c r="D76" s="38" t="s">
        <v>70</v>
      </c>
      <c r="E76" s="30">
        <v>2</v>
      </c>
      <c r="F76" s="32">
        <f t="shared" si="3"/>
        <v>140</v>
      </c>
      <c r="G76" s="32">
        <f t="shared" si="2"/>
        <v>141</v>
      </c>
      <c r="H76" s="52" t="s">
        <v>268</v>
      </c>
      <c r="I76" s="46"/>
    </row>
    <row r="77" spans="1:9" x14ac:dyDescent="0.25">
      <c r="A77" s="30">
        <v>76</v>
      </c>
      <c r="B77" s="30" t="s">
        <v>87</v>
      </c>
      <c r="C77" s="30">
        <v>6</v>
      </c>
      <c r="D77" s="38" t="s">
        <v>63</v>
      </c>
      <c r="E77" s="30">
        <v>2</v>
      </c>
      <c r="F77" s="32">
        <f t="shared" si="3"/>
        <v>142</v>
      </c>
      <c r="G77" s="32">
        <f t="shared" si="2"/>
        <v>143</v>
      </c>
      <c r="H77" s="52" t="s">
        <v>269</v>
      </c>
      <c r="I77" s="46"/>
    </row>
    <row r="78" spans="1:9" x14ac:dyDescent="0.25">
      <c r="A78" s="30">
        <v>77</v>
      </c>
      <c r="B78" s="30" t="s">
        <v>72</v>
      </c>
      <c r="C78" s="30">
        <v>6</v>
      </c>
      <c r="D78" s="38" t="s">
        <v>66</v>
      </c>
      <c r="E78" s="30">
        <v>5</v>
      </c>
      <c r="F78" s="32">
        <f t="shared" si="3"/>
        <v>144</v>
      </c>
      <c r="G78" s="32">
        <f t="shared" si="2"/>
        <v>148</v>
      </c>
      <c r="H78" s="52" t="s">
        <v>270</v>
      </c>
      <c r="I78" s="46"/>
    </row>
    <row r="79" spans="1:9" x14ac:dyDescent="0.25">
      <c r="A79" s="30">
        <v>78</v>
      </c>
      <c r="B79" s="30" t="s">
        <v>71</v>
      </c>
      <c r="C79" s="30">
        <v>6</v>
      </c>
      <c r="D79" s="38" t="s">
        <v>76</v>
      </c>
      <c r="E79" s="30">
        <v>2</v>
      </c>
      <c r="F79" s="32">
        <f t="shared" si="3"/>
        <v>149</v>
      </c>
      <c r="G79" s="32">
        <f t="shared" si="2"/>
        <v>150</v>
      </c>
      <c r="H79" s="52" t="s">
        <v>271</v>
      </c>
      <c r="I79" s="46"/>
    </row>
    <row r="80" spans="1:9" x14ac:dyDescent="0.25">
      <c r="A80" s="30">
        <v>79</v>
      </c>
      <c r="B80" s="30" t="s">
        <v>75</v>
      </c>
      <c r="C80" s="30">
        <v>6</v>
      </c>
      <c r="D80" s="38" t="s">
        <v>77</v>
      </c>
      <c r="E80" s="30">
        <v>2</v>
      </c>
      <c r="F80" s="32">
        <f t="shared" si="3"/>
        <v>151</v>
      </c>
      <c r="G80" s="32">
        <f t="shared" si="2"/>
        <v>152</v>
      </c>
      <c r="H80" s="52" t="s">
        <v>272</v>
      </c>
      <c r="I80" s="46"/>
    </row>
    <row r="81" spans="1:9" x14ac:dyDescent="0.25">
      <c r="A81" s="30">
        <v>80</v>
      </c>
      <c r="B81" s="30" t="s">
        <v>61</v>
      </c>
      <c r="C81" s="30">
        <v>6</v>
      </c>
      <c r="D81" s="38" t="s">
        <v>79</v>
      </c>
      <c r="E81" s="30">
        <v>2</v>
      </c>
      <c r="F81" s="32">
        <f t="shared" si="3"/>
        <v>153</v>
      </c>
      <c r="G81" s="32">
        <f t="shared" si="2"/>
        <v>154</v>
      </c>
      <c r="H81" s="52" t="s">
        <v>273</v>
      </c>
      <c r="I81" s="46"/>
    </row>
    <row r="82" spans="1:9" x14ac:dyDescent="0.25">
      <c r="A82" s="30">
        <v>81</v>
      </c>
      <c r="B82" s="30" t="s">
        <v>157</v>
      </c>
      <c r="C82" s="30">
        <v>6</v>
      </c>
      <c r="D82" s="38" t="s">
        <v>80</v>
      </c>
      <c r="E82" s="30">
        <v>2</v>
      </c>
      <c r="F82" s="32">
        <f t="shared" si="3"/>
        <v>155</v>
      </c>
      <c r="G82" s="32">
        <f t="shared" si="2"/>
        <v>156</v>
      </c>
      <c r="H82" s="52" t="s">
        <v>274</v>
      </c>
      <c r="I82" s="46"/>
    </row>
    <row r="83" spans="1:9" x14ac:dyDescent="0.25">
      <c r="A83" s="30">
        <v>82</v>
      </c>
      <c r="B83" s="30" t="s">
        <v>82</v>
      </c>
      <c r="C83" s="30">
        <v>6</v>
      </c>
      <c r="D83" s="38" t="s">
        <v>64</v>
      </c>
      <c r="E83" s="30">
        <v>2</v>
      </c>
      <c r="F83" s="32">
        <f t="shared" si="3"/>
        <v>157</v>
      </c>
      <c r="G83" s="32">
        <f t="shared" si="2"/>
        <v>158</v>
      </c>
      <c r="H83" s="52" t="s">
        <v>275</v>
      </c>
      <c r="I83" s="46"/>
    </row>
    <row r="84" spans="1:9" x14ac:dyDescent="0.25">
      <c r="A84" s="30">
        <v>83</v>
      </c>
      <c r="B84" s="30" t="s">
        <v>73</v>
      </c>
      <c r="C84" s="30">
        <v>6</v>
      </c>
      <c r="D84" s="38" t="s">
        <v>65</v>
      </c>
      <c r="E84" s="30">
        <v>5</v>
      </c>
      <c r="F84" s="32">
        <f t="shared" si="3"/>
        <v>159</v>
      </c>
      <c r="G84" s="32">
        <f t="shared" si="2"/>
        <v>163</v>
      </c>
      <c r="H84" s="52" t="s">
        <v>276</v>
      </c>
      <c r="I84" s="46"/>
    </row>
    <row r="85" spans="1:9" x14ac:dyDescent="0.25">
      <c r="A85" s="30">
        <v>84</v>
      </c>
      <c r="B85" s="30" t="s">
        <v>62</v>
      </c>
      <c r="C85" s="30">
        <v>6</v>
      </c>
      <c r="D85" s="38" t="s">
        <v>79</v>
      </c>
      <c r="E85" s="30">
        <v>2</v>
      </c>
      <c r="F85" s="32">
        <f t="shared" si="3"/>
        <v>164</v>
      </c>
      <c r="G85" s="32">
        <f t="shared" si="2"/>
        <v>165</v>
      </c>
      <c r="H85" s="52" t="s">
        <v>277</v>
      </c>
      <c r="I85" s="46"/>
    </row>
    <row r="86" spans="1:9" x14ac:dyDescent="0.25">
      <c r="A86" s="30">
        <v>85</v>
      </c>
      <c r="B86" s="30" t="s">
        <v>158</v>
      </c>
      <c r="C86" s="30">
        <v>6</v>
      </c>
      <c r="D86" s="38" t="s">
        <v>80</v>
      </c>
      <c r="E86" s="30">
        <v>2</v>
      </c>
      <c r="F86" s="32">
        <f t="shared" si="3"/>
        <v>166</v>
      </c>
      <c r="G86" s="32">
        <f t="shared" si="2"/>
        <v>167</v>
      </c>
      <c r="H86" s="52" t="s">
        <v>278</v>
      </c>
      <c r="I86" s="46"/>
    </row>
    <row r="87" spans="1:9" x14ac:dyDescent="0.25">
      <c r="A87" s="30">
        <v>86</v>
      </c>
      <c r="B87" s="30" t="s">
        <v>83</v>
      </c>
      <c r="C87" s="30">
        <v>6</v>
      </c>
      <c r="D87" s="38" t="s">
        <v>64</v>
      </c>
      <c r="E87" s="30">
        <v>2</v>
      </c>
      <c r="F87" s="32">
        <f t="shared" si="3"/>
        <v>168</v>
      </c>
      <c r="G87" s="32">
        <f t="shared" si="2"/>
        <v>169</v>
      </c>
      <c r="H87" s="52" t="s">
        <v>279</v>
      </c>
      <c r="I87" s="46"/>
    </row>
    <row r="88" spans="1:9" x14ac:dyDescent="0.25">
      <c r="A88" s="30">
        <v>87</v>
      </c>
      <c r="B88" s="30" t="s">
        <v>84</v>
      </c>
      <c r="C88" s="30">
        <v>6</v>
      </c>
      <c r="D88" s="38" t="s">
        <v>65</v>
      </c>
      <c r="E88" s="30">
        <v>5</v>
      </c>
      <c r="F88" s="32">
        <f t="shared" si="3"/>
        <v>170</v>
      </c>
      <c r="G88" s="32">
        <f t="shared" si="2"/>
        <v>174</v>
      </c>
      <c r="H88" s="52" t="s">
        <v>280</v>
      </c>
      <c r="I88" s="46"/>
    </row>
    <row r="89" spans="1:9" x14ac:dyDescent="0.25">
      <c r="A89" s="30">
        <v>88</v>
      </c>
      <c r="B89" s="30" t="s">
        <v>85</v>
      </c>
      <c r="C89" s="30">
        <v>6</v>
      </c>
      <c r="D89" s="38" t="s">
        <v>81</v>
      </c>
      <c r="E89" s="30">
        <v>2</v>
      </c>
      <c r="F89" s="32">
        <f t="shared" si="3"/>
        <v>175</v>
      </c>
      <c r="G89" s="32">
        <f t="shared" si="2"/>
        <v>176</v>
      </c>
      <c r="H89" s="52" t="s">
        <v>281</v>
      </c>
      <c r="I89" s="46"/>
    </row>
    <row r="90" spans="1:9" x14ac:dyDescent="0.25">
      <c r="A90" s="30">
        <v>89</v>
      </c>
      <c r="B90" s="30" t="s">
        <v>86</v>
      </c>
      <c r="C90" s="30">
        <v>6</v>
      </c>
      <c r="D90" s="38" t="s">
        <v>78</v>
      </c>
      <c r="E90" s="30">
        <v>2</v>
      </c>
      <c r="F90" s="32">
        <f t="shared" si="3"/>
        <v>177</v>
      </c>
      <c r="G90" s="32">
        <f t="shared" si="2"/>
        <v>178</v>
      </c>
      <c r="H90" s="52" t="s">
        <v>282</v>
      </c>
      <c r="I90" s="46"/>
    </row>
    <row r="91" spans="1:9" x14ac:dyDescent="0.25">
      <c r="A91" s="30">
        <v>90</v>
      </c>
      <c r="B91" s="30" t="s">
        <v>61</v>
      </c>
      <c r="C91" s="30">
        <v>6</v>
      </c>
      <c r="D91" s="38" t="s">
        <v>88</v>
      </c>
      <c r="E91" s="30">
        <v>2</v>
      </c>
      <c r="F91" s="32">
        <f t="shared" si="3"/>
        <v>179</v>
      </c>
      <c r="G91" s="32">
        <f t="shared" si="2"/>
        <v>180</v>
      </c>
      <c r="H91" s="52" t="s">
        <v>283</v>
      </c>
      <c r="I91" s="46"/>
    </row>
    <row r="92" spans="1:9" x14ac:dyDescent="0.25">
      <c r="A92" s="30">
        <v>91</v>
      </c>
      <c r="B92" s="30" t="s">
        <v>157</v>
      </c>
      <c r="C92" s="30">
        <v>6</v>
      </c>
      <c r="D92" s="38" t="s">
        <v>89</v>
      </c>
      <c r="E92" s="30">
        <v>2</v>
      </c>
      <c r="F92" s="32">
        <f t="shared" si="3"/>
        <v>181</v>
      </c>
      <c r="G92" s="32">
        <f t="shared" si="2"/>
        <v>182</v>
      </c>
      <c r="H92" s="52" t="s">
        <v>284</v>
      </c>
      <c r="I92" s="46"/>
    </row>
    <row r="93" spans="1:9" x14ac:dyDescent="0.25">
      <c r="A93" s="30">
        <v>92</v>
      </c>
      <c r="B93" s="30" t="s">
        <v>94</v>
      </c>
      <c r="C93" s="30">
        <v>6</v>
      </c>
      <c r="D93" s="38" t="s">
        <v>90</v>
      </c>
      <c r="E93" s="30">
        <v>2</v>
      </c>
      <c r="F93" s="32">
        <f t="shared" si="3"/>
        <v>183</v>
      </c>
      <c r="G93" s="32">
        <f t="shared" si="2"/>
        <v>184</v>
      </c>
      <c r="H93" s="52" t="s">
        <v>285</v>
      </c>
      <c r="I93" s="46"/>
    </row>
    <row r="94" spans="1:9" x14ac:dyDescent="0.25">
      <c r="A94" s="30">
        <v>93</v>
      </c>
      <c r="B94" s="30" t="s">
        <v>95</v>
      </c>
      <c r="C94" s="30">
        <v>6</v>
      </c>
      <c r="D94" s="38" t="s">
        <v>91</v>
      </c>
      <c r="E94" s="30">
        <v>5</v>
      </c>
      <c r="F94" s="32">
        <f t="shared" si="3"/>
        <v>185</v>
      </c>
      <c r="G94" s="32">
        <f t="shared" si="2"/>
        <v>189</v>
      </c>
      <c r="H94" s="52" t="s">
        <v>286</v>
      </c>
      <c r="I94" s="46"/>
    </row>
    <row r="95" spans="1:9" x14ac:dyDescent="0.25">
      <c r="A95" s="30">
        <v>94</v>
      </c>
      <c r="B95" s="30" t="s">
        <v>62</v>
      </c>
      <c r="C95" s="30">
        <v>6</v>
      </c>
      <c r="D95" s="38" t="s">
        <v>88</v>
      </c>
      <c r="E95" s="30">
        <v>2</v>
      </c>
      <c r="F95" s="32">
        <f t="shared" si="3"/>
        <v>190</v>
      </c>
      <c r="G95" s="32">
        <f t="shared" si="2"/>
        <v>191</v>
      </c>
      <c r="H95" s="52" t="s">
        <v>287</v>
      </c>
      <c r="I95" s="46"/>
    </row>
    <row r="96" spans="1:9" x14ac:dyDescent="0.25">
      <c r="A96" s="30">
        <v>95</v>
      </c>
      <c r="B96" s="30" t="s">
        <v>158</v>
      </c>
      <c r="C96" s="30">
        <v>6</v>
      </c>
      <c r="D96" s="38" t="s">
        <v>89</v>
      </c>
      <c r="E96" s="30">
        <v>2</v>
      </c>
      <c r="F96" s="32">
        <f t="shared" si="3"/>
        <v>192</v>
      </c>
      <c r="G96" s="32">
        <f t="shared" si="2"/>
        <v>193</v>
      </c>
      <c r="H96" s="52" t="s">
        <v>288</v>
      </c>
      <c r="I96" s="46"/>
    </row>
    <row r="97" spans="1:9" x14ac:dyDescent="0.25">
      <c r="A97" s="30">
        <v>96</v>
      </c>
      <c r="B97" s="30" t="s">
        <v>96</v>
      </c>
      <c r="C97" s="30">
        <v>6</v>
      </c>
      <c r="D97" s="38" t="s">
        <v>90</v>
      </c>
      <c r="E97" s="30">
        <v>2</v>
      </c>
      <c r="F97" s="32">
        <f t="shared" si="3"/>
        <v>194</v>
      </c>
      <c r="G97" s="32">
        <f t="shared" si="2"/>
        <v>195</v>
      </c>
      <c r="H97" s="52" t="s">
        <v>289</v>
      </c>
      <c r="I97" s="46"/>
    </row>
    <row r="98" spans="1:9" x14ac:dyDescent="0.25">
      <c r="A98" s="30">
        <v>97</v>
      </c>
      <c r="B98" s="30" t="s">
        <v>97</v>
      </c>
      <c r="C98" s="30">
        <v>6</v>
      </c>
      <c r="D98" s="38" t="s">
        <v>91</v>
      </c>
      <c r="E98" s="30">
        <v>5</v>
      </c>
      <c r="F98" s="32">
        <f t="shared" si="3"/>
        <v>196</v>
      </c>
      <c r="G98" s="32">
        <f t="shared" si="2"/>
        <v>200</v>
      </c>
      <c r="H98" s="52" t="s">
        <v>290</v>
      </c>
      <c r="I98" s="46"/>
    </row>
    <row r="99" spans="1:9" x14ac:dyDescent="0.25">
      <c r="A99" s="30">
        <v>98</v>
      </c>
      <c r="B99" s="30" t="s">
        <v>98</v>
      </c>
      <c r="C99" s="30">
        <v>6</v>
      </c>
      <c r="D99" s="38" t="s">
        <v>92</v>
      </c>
      <c r="E99" s="30">
        <v>2</v>
      </c>
      <c r="F99" s="32">
        <f t="shared" si="3"/>
        <v>201</v>
      </c>
      <c r="G99" s="32">
        <f t="shared" si="2"/>
        <v>202</v>
      </c>
      <c r="H99" s="52" t="s">
        <v>291</v>
      </c>
      <c r="I99" s="46"/>
    </row>
    <row r="100" spans="1:9" x14ac:dyDescent="0.25">
      <c r="A100" s="30">
        <v>99</v>
      </c>
      <c r="B100" s="30" t="s">
        <v>99</v>
      </c>
      <c r="C100" s="30">
        <v>6</v>
      </c>
      <c r="D100" s="38" t="s">
        <v>93</v>
      </c>
      <c r="E100" s="30">
        <v>2</v>
      </c>
      <c r="F100" s="32">
        <f t="shared" si="3"/>
        <v>203</v>
      </c>
      <c r="G100" s="32">
        <f t="shared" si="2"/>
        <v>204</v>
      </c>
      <c r="H100" s="52" t="s">
        <v>292</v>
      </c>
      <c r="I100" s="46"/>
    </row>
    <row r="101" spans="1:9" x14ac:dyDescent="0.25">
      <c r="A101" s="30">
        <v>100</v>
      </c>
      <c r="B101" s="30" t="s">
        <v>61</v>
      </c>
      <c r="C101" s="30">
        <v>6</v>
      </c>
      <c r="D101" s="38" t="s">
        <v>100</v>
      </c>
      <c r="E101" s="30">
        <v>2</v>
      </c>
      <c r="F101" s="32">
        <f t="shared" si="3"/>
        <v>205</v>
      </c>
      <c r="G101" s="32">
        <f t="shared" si="2"/>
        <v>206</v>
      </c>
      <c r="H101" s="52" t="s">
        <v>293</v>
      </c>
      <c r="I101" s="46"/>
    </row>
    <row r="102" spans="1:9" x14ac:dyDescent="0.25">
      <c r="A102" s="30">
        <v>101</v>
      </c>
      <c r="B102" s="30" t="s">
        <v>157</v>
      </c>
      <c r="C102" s="30">
        <v>6</v>
      </c>
      <c r="D102" s="38" t="s">
        <v>101</v>
      </c>
      <c r="E102" s="30">
        <v>2</v>
      </c>
      <c r="F102" s="32">
        <f t="shared" si="3"/>
        <v>207</v>
      </c>
      <c r="G102" s="32">
        <f t="shared" si="2"/>
        <v>208</v>
      </c>
      <c r="H102" s="52" t="s">
        <v>294</v>
      </c>
      <c r="I102" s="46"/>
    </row>
    <row r="103" spans="1:9" x14ac:dyDescent="0.25">
      <c r="A103" s="30">
        <v>102</v>
      </c>
      <c r="B103" s="30" t="s">
        <v>106</v>
      </c>
      <c r="C103" s="30">
        <v>6</v>
      </c>
      <c r="D103" s="38" t="s">
        <v>102</v>
      </c>
      <c r="E103" s="30">
        <v>2</v>
      </c>
      <c r="F103" s="32">
        <f t="shared" si="3"/>
        <v>209</v>
      </c>
      <c r="G103" s="32">
        <f t="shared" si="2"/>
        <v>210</v>
      </c>
      <c r="H103" s="52" t="s">
        <v>295</v>
      </c>
      <c r="I103" s="46"/>
    </row>
    <row r="104" spans="1:9" x14ac:dyDescent="0.25">
      <c r="A104" s="30">
        <v>103</v>
      </c>
      <c r="B104" s="30" t="s">
        <v>108</v>
      </c>
      <c r="C104" s="30">
        <v>6</v>
      </c>
      <c r="D104" s="38" t="s">
        <v>103</v>
      </c>
      <c r="E104" s="30">
        <v>5</v>
      </c>
      <c r="F104" s="32">
        <f t="shared" si="3"/>
        <v>211</v>
      </c>
      <c r="G104" s="32">
        <f t="shared" si="2"/>
        <v>215</v>
      </c>
      <c r="H104" s="52" t="s">
        <v>296</v>
      </c>
      <c r="I104" s="46"/>
    </row>
    <row r="105" spans="1:9" x14ac:dyDescent="0.25">
      <c r="A105" s="30">
        <v>104</v>
      </c>
      <c r="B105" s="30" t="s">
        <v>62</v>
      </c>
      <c r="C105" s="30">
        <v>6</v>
      </c>
      <c r="D105" s="38" t="s">
        <v>100</v>
      </c>
      <c r="E105" s="30">
        <v>2</v>
      </c>
      <c r="F105" s="32">
        <f t="shared" si="3"/>
        <v>216</v>
      </c>
      <c r="G105" s="32">
        <f t="shared" si="2"/>
        <v>217</v>
      </c>
      <c r="H105" s="52" t="s">
        <v>297</v>
      </c>
      <c r="I105" s="46"/>
    </row>
    <row r="106" spans="1:9" x14ac:dyDescent="0.25">
      <c r="A106" s="30">
        <v>105</v>
      </c>
      <c r="B106" s="30" t="s">
        <v>158</v>
      </c>
      <c r="C106" s="30">
        <v>6</v>
      </c>
      <c r="D106" s="38" t="s">
        <v>101</v>
      </c>
      <c r="E106" s="30">
        <v>2</v>
      </c>
      <c r="F106" s="32">
        <f t="shared" si="3"/>
        <v>218</v>
      </c>
      <c r="G106" s="32">
        <f t="shared" si="2"/>
        <v>219</v>
      </c>
      <c r="H106" s="52" t="s">
        <v>298</v>
      </c>
      <c r="I106" s="46"/>
    </row>
    <row r="107" spans="1:9" x14ac:dyDescent="0.25">
      <c r="A107" s="30">
        <v>106</v>
      </c>
      <c r="B107" s="30" t="s">
        <v>107</v>
      </c>
      <c r="C107" s="30">
        <v>6</v>
      </c>
      <c r="D107" s="38" t="s">
        <v>102</v>
      </c>
      <c r="E107" s="30">
        <v>2</v>
      </c>
      <c r="F107" s="32">
        <f t="shared" si="3"/>
        <v>220</v>
      </c>
      <c r="G107" s="32">
        <f t="shared" si="2"/>
        <v>221</v>
      </c>
      <c r="H107" s="52" t="s">
        <v>299</v>
      </c>
      <c r="I107" s="46"/>
    </row>
    <row r="108" spans="1:9" x14ac:dyDescent="0.25">
      <c r="A108" s="30">
        <v>107</v>
      </c>
      <c r="B108" s="30" t="s">
        <v>109</v>
      </c>
      <c r="C108" s="30">
        <v>6</v>
      </c>
      <c r="D108" s="38" t="s">
        <v>103</v>
      </c>
      <c r="E108" s="30">
        <v>5</v>
      </c>
      <c r="F108" s="32">
        <f t="shared" si="3"/>
        <v>222</v>
      </c>
      <c r="G108" s="32">
        <f t="shared" si="2"/>
        <v>226</v>
      </c>
      <c r="H108" s="52" t="s">
        <v>300</v>
      </c>
      <c r="I108" s="46"/>
    </row>
    <row r="109" spans="1:9" x14ac:dyDescent="0.25">
      <c r="A109" s="30">
        <v>108</v>
      </c>
      <c r="B109" s="30" t="s">
        <v>110</v>
      </c>
      <c r="C109" s="30">
        <v>6</v>
      </c>
      <c r="D109" s="38" t="s">
        <v>104</v>
      </c>
      <c r="E109" s="30">
        <v>2</v>
      </c>
      <c r="F109" s="32">
        <f t="shared" si="3"/>
        <v>227</v>
      </c>
      <c r="G109" s="32">
        <f t="shared" si="2"/>
        <v>228</v>
      </c>
      <c r="H109" s="52" t="s">
        <v>301</v>
      </c>
      <c r="I109" s="46"/>
    </row>
    <row r="110" spans="1:9" x14ac:dyDescent="0.25">
      <c r="A110" s="30">
        <v>109</v>
      </c>
      <c r="B110" s="30" t="s">
        <v>111</v>
      </c>
      <c r="C110" s="30">
        <v>6</v>
      </c>
      <c r="D110" s="38" t="s">
        <v>105</v>
      </c>
      <c r="E110" s="30">
        <v>2</v>
      </c>
      <c r="F110" s="32">
        <f t="shared" si="3"/>
        <v>229</v>
      </c>
      <c r="G110" s="32">
        <f t="shared" si="2"/>
        <v>230</v>
      </c>
      <c r="H110" s="52" t="s">
        <v>302</v>
      </c>
      <c r="I110" s="46"/>
    </row>
    <row r="111" spans="1:9" x14ac:dyDescent="0.25">
      <c r="A111" s="30">
        <v>110</v>
      </c>
      <c r="B111" s="30" t="s">
        <v>61</v>
      </c>
      <c r="C111" s="30">
        <v>6</v>
      </c>
      <c r="D111" s="38" t="s">
        <v>112</v>
      </c>
      <c r="E111" s="30">
        <v>2</v>
      </c>
      <c r="F111" s="32">
        <f t="shared" si="3"/>
        <v>231</v>
      </c>
      <c r="G111" s="32">
        <f t="shared" si="2"/>
        <v>232</v>
      </c>
      <c r="H111" s="52" t="s">
        <v>303</v>
      </c>
      <c r="I111" s="46"/>
    </row>
    <row r="112" spans="1:9" x14ac:dyDescent="0.25">
      <c r="A112" s="30">
        <v>111</v>
      </c>
      <c r="B112" s="30" t="s">
        <v>157</v>
      </c>
      <c r="C112" s="30">
        <v>6</v>
      </c>
      <c r="D112" s="38" t="s">
        <v>113</v>
      </c>
      <c r="E112" s="30">
        <v>2</v>
      </c>
      <c r="F112" s="32">
        <f t="shared" si="3"/>
        <v>233</v>
      </c>
      <c r="G112" s="32">
        <f t="shared" si="2"/>
        <v>234</v>
      </c>
      <c r="H112" s="52" t="s">
        <v>304</v>
      </c>
      <c r="I112" s="46"/>
    </row>
    <row r="113" spans="1:9" x14ac:dyDescent="0.25">
      <c r="A113" s="30">
        <v>112</v>
      </c>
      <c r="B113" s="30" t="s">
        <v>118</v>
      </c>
      <c r="C113" s="30">
        <v>6</v>
      </c>
      <c r="D113" s="38" t="s">
        <v>114</v>
      </c>
      <c r="E113" s="30">
        <v>2</v>
      </c>
      <c r="F113" s="32">
        <f t="shared" si="3"/>
        <v>235</v>
      </c>
      <c r="G113" s="32">
        <f t="shared" si="2"/>
        <v>236</v>
      </c>
      <c r="H113" s="52" t="s">
        <v>305</v>
      </c>
      <c r="I113" s="46"/>
    </row>
    <row r="114" spans="1:9" x14ac:dyDescent="0.25">
      <c r="A114" s="30">
        <v>113</v>
      </c>
      <c r="B114" s="30" t="s">
        <v>119</v>
      </c>
      <c r="C114" s="30">
        <v>6</v>
      </c>
      <c r="D114" s="38" t="s">
        <v>115</v>
      </c>
      <c r="E114" s="30">
        <v>5</v>
      </c>
      <c r="F114" s="32">
        <f t="shared" si="3"/>
        <v>237</v>
      </c>
      <c r="G114" s="32">
        <f t="shared" si="2"/>
        <v>241</v>
      </c>
      <c r="H114" s="52" t="s">
        <v>306</v>
      </c>
      <c r="I114" s="46"/>
    </row>
    <row r="115" spans="1:9" x14ac:dyDescent="0.25">
      <c r="A115" s="30">
        <v>114</v>
      </c>
      <c r="B115" s="30" t="s">
        <v>62</v>
      </c>
      <c r="C115" s="30">
        <v>6</v>
      </c>
      <c r="D115" s="38" t="s">
        <v>112</v>
      </c>
      <c r="E115" s="30">
        <v>2</v>
      </c>
      <c r="F115" s="32">
        <f t="shared" si="3"/>
        <v>242</v>
      </c>
      <c r="G115" s="32">
        <f t="shared" si="2"/>
        <v>243</v>
      </c>
      <c r="H115" s="52" t="s">
        <v>307</v>
      </c>
      <c r="I115" s="46"/>
    </row>
    <row r="116" spans="1:9" x14ac:dyDescent="0.25">
      <c r="A116" s="30">
        <v>115</v>
      </c>
      <c r="B116" s="30" t="s">
        <v>158</v>
      </c>
      <c r="C116" s="30">
        <v>6</v>
      </c>
      <c r="D116" s="38" t="s">
        <v>113</v>
      </c>
      <c r="E116" s="30">
        <v>2</v>
      </c>
      <c r="F116" s="32">
        <f t="shared" si="3"/>
        <v>244</v>
      </c>
      <c r="G116" s="32">
        <f t="shared" si="2"/>
        <v>245</v>
      </c>
      <c r="H116" s="52" t="s">
        <v>308</v>
      </c>
      <c r="I116" s="46"/>
    </row>
    <row r="117" spans="1:9" x14ac:dyDescent="0.25">
      <c r="A117" s="30">
        <v>116</v>
      </c>
      <c r="B117" s="30" t="s">
        <v>120</v>
      </c>
      <c r="C117" s="30">
        <v>6</v>
      </c>
      <c r="D117" s="38" t="s">
        <v>114</v>
      </c>
      <c r="E117" s="30">
        <v>2</v>
      </c>
      <c r="F117" s="32">
        <f t="shared" si="3"/>
        <v>246</v>
      </c>
      <c r="G117" s="32">
        <f t="shared" si="2"/>
        <v>247</v>
      </c>
      <c r="H117" s="52" t="s">
        <v>309</v>
      </c>
      <c r="I117" s="46"/>
    </row>
    <row r="118" spans="1:9" x14ac:dyDescent="0.25">
      <c r="A118" s="30">
        <v>117</v>
      </c>
      <c r="B118" s="30" t="s">
        <v>121</v>
      </c>
      <c r="C118" s="30">
        <v>6</v>
      </c>
      <c r="D118" s="38" t="s">
        <v>115</v>
      </c>
      <c r="E118" s="30">
        <v>5</v>
      </c>
      <c r="F118" s="32">
        <f t="shared" si="3"/>
        <v>248</v>
      </c>
      <c r="G118" s="32">
        <f t="shared" si="2"/>
        <v>252</v>
      </c>
      <c r="H118" s="52" t="s">
        <v>310</v>
      </c>
      <c r="I118" s="46"/>
    </row>
    <row r="119" spans="1:9" x14ac:dyDescent="0.25">
      <c r="A119" s="30">
        <v>118</v>
      </c>
      <c r="B119" s="30" t="s">
        <v>122</v>
      </c>
      <c r="C119" s="30">
        <v>6</v>
      </c>
      <c r="D119" s="38" t="s">
        <v>116</v>
      </c>
      <c r="E119" s="30">
        <v>2</v>
      </c>
      <c r="F119" s="32">
        <f t="shared" si="3"/>
        <v>253</v>
      </c>
      <c r="G119" s="32">
        <f t="shared" si="2"/>
        <v>254</v>
      </c>
      <c r="H119" s="52" t="s">
        <v>311</v>
      </c>
      <c r="I119" s="46"/>
    </row>
    <row r="120" spans="1:9" x14ac:dyDescent="0.25">
      <c r="A120" s="30">
        <v>119</v>
      </c>
      <c r="B120" s="30" t="s">
        <v>123</v>
      </c>
      <c r="C120" s="30">
        <v>6</v>
      </c>
      <c r="D120" s="38" t="s">
        <v>117</v>
      </c>
      <c r="E120" s="30">
        <v>2</v>
      </c>
      <c r="F120" s="32">
        <f t="shared" si="3"/>
        <v>255</v>
      </c>
      <c r="G120" s="32">
        <f t="shared" si="2"/>
        <v>256</v>
      </c>
      <c r="H120" s="52" t="s">
        <v>312</v>
      </c>
      <c r="I120" s="46"/>
    </row>
    <row r="121" spans="1:9" x14ac:dyDescent="0.25">
      <c r="A121" s="30">
        <v>120</v>
      </c>
      <c r="B121" s="30" t="s">
        <v>61</v>
      </c>
      <c r="C121" s="30">
        <v>6</v>
      </c>
      <c r="D121" s="38" t="s">
        <v>130</v>
      </c>
      <c r="E121" s="30">
        <v>2</v>
      </c>
      <c r="F121" s="32">
        <f t="shared" si="3"/>
        <v>257</v>
      </c>
      <c r="G121" s="32">
        <f t="shared" si="2"/>
        <v>258</v>
      </c>
      <c r="H121" s="52" t="s">
        <v>313</v>
      </c>
      <c r="I121" s="46"/>
    </row>
    <row r="122" spans="1:9" x14ac:dyDescent="0.25">
      <c r="A122" s="30">
        <v>121</v>
      </c>
      <c r="B122" s="30" t="s">
        <v>157</v>
      </c>
      <c r="C122" s="30">
        <v>6</v>
      </c>
      <c r="D122" s="38" t="s">
        <v>131</v>
      </c>
      <c r="E122" s="30">
        <v>2</v>
      </c>
      <c r="F122" s="32">
        <f t="shared" si="3"/>
        <v>259</v>
      </c>
      <c r="G122" s="32">
        <f t="shared" si="2"/>
        <v>260</v>
      </c>
      <c r="H122" s="52" t="s">
        <v>314</v>
      </c>
      <c r="I122" s="46"/>
    </row>
    <row r="123" spans="1:9" x14ac:dyDescent="0.25">
      <c r="A123" s="30">
        <v>122</v>
      </c>
      <c r="B123" s="30" t="s">
        <v>124</v>
      </c>
      <c r="C123" s="30">
        <v>6</v>
      </c>
      <c r="D123" s="38" t="s">
        <v>132</v>
      </c>
      <c r="E123" s="30">
        <v>2</v>
      </c>
      <c r="F123" s="32">
        <f t="shared" si="3"/>
        <v>261</v>
      </c>
      <c r="G123" s="32">
        <f t="shared" si="2"/>
        <v>262</v>
      </c>
      <c r="H123" s="52" t="s">
        <v>315</v>
      </c>
      <c r="I123" s="46"/>
    </row>
    <row r="124" spans="1:9" x14ac:dyDescent="0.25">
      <c r="A124" s="30">
        <v>123</v>
      </c>
      <c r="B124" s="30" t="s">
        <v>125</v>
      </c>
      <c r="C124" s="30">
        <v>6</v>
      </c>
      <c r="D124" s="38" t="s">
        <v>68</v>
      </c>
      <c r="E124" s="30">
        <v>5</v>
      </c>
      <c r="F124" s="32">
        <f t="shared" si="3"/>
        <v>263</v>
      </c>
      <c r="G124" s="32">
        <f t="shared" si="2"/>
        <v>267</v>
      </c>
      <c r="H124" s="52" t="s">
        <v>316</v>
      </c>
      <c r="I124" s="46"/>
    </row>
    <row r="125" spans="1:9" x14ac:dyDescent="0.25">
      <c r="A125" s="30">
        <v>124</v>
      </c>
      <c r="B125" s="30" t="s">
        <v>62</v>
      </c>
      <c r="C125" s="30">
        <v>6</v>
      </c>
      <c r="D125" s="38" t="s">
        <v>130</v>
      </c>
      <c r="E125" s="30">
        <v>2</v>
      </c>
      <c r="F125" s="32">
        <f t="shared" si="3"/>
        <v>268</v>
      </c>
      <c r="G125" s="32">
        <f t="shared" si="2"/>
        <v>269</v>
      </c>
      <c r="H125" s="52" t="s">
        <v>317</v>
      </c>
      <c r="I125" s="46"/>
    </row>
    <row r="126" spans="1:9" x14ac:dyDescent="0.25">
      <c r="A126" s="30">
        <v>125</v>
      </c>
      <c r="B126" s="30" t="s">
        <v>158</v>
      </c>
      <c r="C126" s="30">
        <v>6</v>
      </c>
      <c r="D126" s="38" t="s">
        <v>131</v>
      </c>
      <c r="E126" s="30">
        <v>2</v>
      </c>
      <c r="F126" s="32">
        <f t="shared" si="3"/>
        <v>270</v>
      </c>
      <c r="G126" s="32">
        <f t="shared" si="2"/>
        <v>271</v>
      </c>
      <c r="H126" s="52" t="s">
        <v>318</v>
      </c>
      <c r="I126" s="46"/>
    </row>
    <row r="127" spans="1:9" x14ac:dyDescent="0.25">
      <c r="A127" s="30">
        <v>126</v>
      </c>
      <c r="B127" s="30" t="s">
        <v>126</v>
      </c>
      <c r="C127" s="30">
        <v>6</v>
      </c>
      <c r="D127" s="38" t="s">
        <v>132</v>
      </c>
      <c r="E127" s="30">
        <v>2</v>
      </c>
      <c r="F127" s="32">
        <f t="shared" si="3"/>
        <v>272</v>
      </c>
      <c r="G127" s="32">
        <f t="shared" si="2"/>
        <v>273</v>
      </c>
      <c r="H127" s="52" t="s">
        <v>319</v>
      </c>
      <c r="I127" s="46"/>
    </row>
    <row r="128" spans="1:9" x14ac:dyDescent="0.25">
      <c r="A128" s="30">
        <v>127</v>
      </c>
      <c r="B128" s="30" t="s">
        <v>127</v>
      </c>
      <c r="C128" s="30">
        <v>6</v>
      </c>
      <c r="D128" s="38" t="s">
        <v>68</v>
      </c>
      <c r="E128" s="30">
        <v>5</v>
      </c>
      <c r="F128" s="32">
        <f t="shared" si="3"/>
        <v>274</v>
      </c>
      <c r="G128" s="32">
        <f t="shared" si="2"/>
        <v>278</v>
      </c>
      <c r="H128" s="52" t="s">
        <v>320</v>
      </c>
      <c r="I128" s="46"/>
    </row>
    <row r="129" spans="1:9" x14ac:dyDescent="0.25">
      <c r="A129" s="30">
        <v>128</v>
      </c>
      <c r="B129" s="30" t="s">
        <v>128</v>
      </c>
      <c r="C129" s="30">
        <v>6</v>
      </c>
      <c r="D129" s="38" t="s">
        <v>133</v>
      </c>
      <c r="E129" s="30">
        <v>2</v>
      </c>
      <c r="F129" s="32">
        <f t="shared" si="3"/>
        <v>279</v>
      </c>
      <c r="G129" s="32">
        <f t="shared" si="2"/>
        <v>280</v>
      </c>
      <c r="H129" s="52" t="s">
        <v>321</v>
      </c>
      <c r="I129" s="46"/>
    </row>
    <row r="130" spans="1:9" x14ac:dyDescent="0.25">
      <c r="A130" s="30">
        <v>129</v>
      </c>
      <c r="B130" s="30" t="s">
        <v>129</v>
      </c>
      <c r="C130" s="30">
        <v>6</v>
      </c>
      <c r="D130" s="38" t="s">
        <v>134</v>
      </c>
      <c r="E130" s="30">
        <v>2</v>
      </c>
      <c r="F130" s="32">
        <f t="shared" si="3"/>
        <v>281</v>
      </c>
      <c r="G130" s="32">
        <f t="shared" si="2"/>
        <v>282</v>
      </c>
      <c r="H130" s="52" t="s">
        <v>322</v>
      </c>
      <c r="I130" s="46"/>
    </row>
    <row r="131" spans="1:9" x14ac:dyDescent="0.25">
      <c r="A131" s="30">
        <v>130</v>
      </c>
      <c r="B131" s="30" t="s">
        <v>61</v>
      </c>
      <c r="C131" s="30">
        <v>6</v>
      </c>
      <c r="D131" s="38" t="s">
        <v>135</v>
      </c>
      <c r="E131" s="30">
        <v>2</v>
      </c>
      <c r="F131" s="32">
        <f t="shared" si="3"/>
        <v>283</v>
      </c>
      <c r="G131" s="32">
        <f t="shared" ref="G131:G154" si="4">G130+E131</f>
        <v>284</v>
      </c>
      <c r="H131" s="52" t="s">
        <v>323</v>
      </c>
      <c r="I131" s="46"/>
    </row>
    <row r="132" spans="1:9" x14ac:dyDescent="0.25">
      <c r="A132" s="30">
        <v>131</v>
      </c>
      <c r="B132" s="30" t="s">
        <v>157</v>
      </c>
      <c r="C132" s="30">
        <v>6</v>
      </c>
      <c r="D132" s="38" t="s">
        <v>136</v>
      </c>
      <c r="E132" s="30">
        <v>2</v>
      </c>
      <c r="F132" s="32">
        <f t="shared" si="3"/>
        <v>285</v>
      </c>
      <c r="G132" s="32">
        <f t="shared" si="4"/>
        <v>286</v>
      </c>
      <c r="H132" s="52" t="s">
        <v>324</v>
      </c>
      <c r="I132" s="46"/>
    </row>
    <row r="133" spans="1:9" x14ac:dyDescent="0.25">
      <c r="A133" s="30">
        <v>132</v>
      </c>
      <c r="B133" s="30" t="s">
        <v>140</v>
      </c>
      <c r="C133" s="30">
        <v>6</v>
      </c>
      <c r="D133" s="38" t="s">
        <v>137</v>
      </c>
      <c r="E133" s="30">
        <v>2</v>
      </c>
      <c r="F133" s="32">
        <f t="shared" si="3"/>
        <v>287</v>
      </c>
      <c r="G133" s="32">
        <f t="shared" si="4"/>
        <v>288</v>
      </c>
      <c r="H133" s="52" t="s">
        <v>325</v>
      </c>
      <c r="I133" s="46"/>
    </row>
    <row r="134" spans="1:9" x14ac:dyDescent="0.25">
      <c r="A134" s="30">
        <v>133</v>
      </c>
      <c r="B134" s="30" t="s">
        <v>141</v>
      </c>
      <c r="C134" s="30">
        <v>6</v>
      </c>
      <c r="D134" s="38" t="s">
        <v>67</v>
      </c>
      <c r="E134" s="30">
        <v>5</v>
      </c>
      <c r="F134" s="32">
        <f t="shared" ref="F134:F154" si="5">G133+1</f>
        <v>289</v>
      </c>
      <c r="G134" s="32">
        <f t="shared" si="4"/>
        <v>293</v>
      </c>
      <c r="H134" s="52" t="s">
        <v>326</v>
      </c>
      <c r="I134" s="46"/>
    </row>
    <row r="135" spans="1:9" x14ac:dyDescent="0.25">
      <c r="A135" s="30">
        <v>134</v>
      </c>
      <c r="B135" s="30" t="s">
        <v>62</v>
      </c>
      <c r="C135" s="30">
        <v>6</v>
      </c>
      <c r="D135" s="38" t="s">
        <v>135</v>
      </c>
      <c r="E135" s="30">
        <v>2</v>
      </c>
      <c r="F135" s="32">
        <f t="shared" si="5"/>
        <v>294</v>
      </c>
      <c r="G135" s="32">
        <f t="shared" si="4"/>
        <v>295</v>
      </c>
      <c r="H135" s="52" t="s">
        <v>327</v>
      </c>
      <c r="I135" s="46"/>
    </row>
    <row r="136" spans="1:9" x14ac:dyDescent="0.25">
      <c r="A136" s="30">
        <v>135</v>
      </c>
      <c r="B136" s="30" t="s">
        <v>158</v>
      </c>
      <c r="C136" s="30">
        <v>6</v>
      </c>
      <c r="D136" s="38" t="s">
        <v>136</v>
      </c>
      <c r="E136" s="30">
        <v>2</v>
      </c>
      <c r="F136" s="32">
        <f t="shared" si="5"/>
        <v>296</v>
      </c>
      <c r="G136" s="32">
        <f t="shared" si="4"/>
        <v>297</v>
      </c>
      <c r="H136" s="52" t="s">
        <v>328</v>
      </c>
      <c r="I136" s="46"/>
    </row>
    <row r="137" spans="1:9" x14ac:dyDescent="0.25">
      <c r="A137" s="30">
        <v>136</v>
      </c>
      <c r="B137" s="30" t="s">
        <v>142</v>
      </c>
      <c r="C137" s="30">
        <v>6</v>
      </c>
      <c r="D137" s="38" t="s">
        <v>137</v>
      </c>
      <c r="E137" s="30">
        <v>2</v>
      </c>
      <c r="F137" s="32">
        <f t="shared" si="5"/>
        <v>298</v>
      </c>
      <c r="G137" s="32">
        <f t="shared" si="4"/>
        <v>299</v>
      </c>
      <c r="H137" s="52" t="s">
        <v>329</v>
      </c>
      <c r="I137" s="46"/>
    </row>
    <row r="138" spans="1:9" x14ac:dyDescent="0.25">
      <c r="A138" s="30">
        <v>137</v>
      </c>
      <c r="B138" s="30" t="s">
        <v>143</v>
      </c>
      <c r="C138" s="30">
        <v>6</v>
      </c>
      <c r="D138" s="38" t="s">
        <v>67</v>
      </c>
      <c r="E138" s="30">
        <v>5</v>
      </c>
      <c r="F138" s="32">
        <f t="shared" si="5"/>
        <v>300</v>
      </c>
      <c r="G138" s="32">
        <f t="shared" si="4"/>
        <v>304</v>
      </c>
      <c r="H138" s="52" t="s">
        <v>330</v>
      </c>
      <c r="I138" s="46"/>
    </row>
    <row r="139" spans="1:9" x14ac:dyDescent="0.25">
      <c r="A139" s="30">
        <v>138</v>
      </c>
      <c r="B139" s="30" t="s">
        <v>144</v>
      </c>
      <c r="C139" s="30">
        <v>6</v>
      </c>
      <c r="D139" s="38" t="s">
        <v>138</v>
      </c>
      <c r="E139" s="30">
        <v>2</v>
      </c>
      <c r="F139" s="32">
        <f t="shared" si="5"/>
        <v>305</v>
      </c>
      <c r="G139" s="32">
        <f t="shared" si="4"/>
        <v>306</v>
      </c>
      <c r="H139" s="52" t="s">
        <v>331</v>
      </c>
      <c r="I139" s="46"/>
    </row>
    <row r="140" spans="1:9" x14ac:dyDescent="0.25">
      <c r="A140" s="30">
        <v>139</v>
      </c>
      <c r="B140" s="30" t="s">
        <v>145</v>
      </c>
      <c r="C140" s="30">
        <v>6</v>
      </c>
      <c r="D140" s="38" t="s">
        <v>139</v>
      </c>
      <c r="E140" s="30">
        <v>2</v>
      </c>
      <c r="F140" s="32">
        <f t="shared" si="5"/>
        <v>307</v>
      </c>
      <c r="G140" s="32">
        <f t="shared" si="4"/>
        <v>308</v>
      </c>
      <c r="H140" s="52" t="s">
        <v>332</v>
      </c>
      <c r="I140" s="46"/>
    </row>
    <row r="141" spans="1:9" x14ac:dyDescent="0.25">
      <c r="A141" s="30">
        <v>140</v>
      </c>
      <c r="B141" s="30" t="s">
        <v>555</v>
      </c>
      <c r="C141" s="30">
        <v>6</v>
      </c>
      <c r="D141" s="38" t="s">
        <v>557</v>
      </c>
      <c r="E141" s="30">
        <v>3</v>
      </c>
      <c r="F141" s="32">
        <f t="shared" si="5"/>
        <v>309</v>
      </c>
      <c r="G141" s="32">
        <f t="shared" si="4"/>
        <v>311</v>
      </c>
      <c r="H141" s="53" t="s">
        <v>544</v>
      </c>
      <c r="I141" s="46"/>
    </row>
    <row r="142" spans="1:9" x14ac:dyDescent="0.25">
      <c r="A142" s="30">
        <v>141</v>
      </c>
      <c r="B142" s="30" t="s">
        <v>556</v>
      </c>
      <c r="C142" s="30">
        <v>6</v>
      </c>
      <c r="D142" s="38" t="s">
        <v>558</v>
      </c>
      <c r="E142" s="30">
        <v>3</v>
      </c>
      <c r="F142" s="32">
        <f t="shared" si="5"/>
        <v>312</v>
      </c>
      <c r="G142" s="32">
        <f t="shared" si="4"/>
        <v>314</v>
      </c>
      <c r="H142" s="53" t="s">
        <v>545</v>
      </c>
      <c r="I142" s="46"/>
    </row>
    <row r="143" spans="1:9" x14ac:dyDescent="0.25">
      <c r="A143" s="30">
        <v>142</v>
      </c>
      <c r="B143" s="30" t="s">
        <v>146</v>
      </c>
      <c r="C143" s="30">
        <v>6</v>
      </c>
      <c r="D143" s="38">
        <v>5</v>
      </c>
      <c r="E143" s="30">
        <v>2</v>
      </c>
      <c r="F143" s="32">
        <f t="shared" si="5"/>
        <v>315</v>
      </c>
      <c r="G143" s="32">
        <f t="shared" si="4"/>
        <v>316</v>
      </c>
      <c r="H143" s="52" t="s">
        <v>333</v>
      </c>
      <c r="I143" s="46"/>
    </row>
    <row r="144" spans="1:9" x14ac:dyDescent="0.25">
      <c r="A144" s="30">
        <v>143</v>
      </c>
      <c r="B144" s="30" t="s">
        <v>147</v>
      </c>
      <c r="C144" s="30">
        <v>6</v>
      </c>
      <c r="D144" s="38">
        <v>6</v>
      </c>
      <c r="E144" s="30">
        <v>2</v>
      </c>
      <c r="F144" s="32">
        <f t="shared" si="5"/>
        <v>317</v>
      </c>
      <c r="G144" s="32">
        <f t="shared" si="4"/>
        <v>318</v>
      </c>
      <c r="H144" s="52" t="s">
        <v>334</v>
      </c>
      <c r="I144" s="46"/>
    </row>
    <row r="145" spans="1:9" x14ac:dyDescent="0.25">
      <c r="A145" s="30">
        <v>144</v>
      </c>
      <c r="B145" s="30" t="s">
        <v>148</v>
      </c>
      <c r="C145" s="30">
        <v>6</v>
      </c>
      <c r="D145" s="38">
        <v>7</v>
      </c>
      <c r="E145" s="30">
        <v>3</v>
      </c>
      <c r="F145" s="32">
        <f t="shared" si="5"/>
        <v>319</v>
      </c>
      <c r="G145" s="32">
        <f t="shared" si="4"/>
        <v>321</v>
      </c>
      <c r="H145" s="52" t="s">
        <v>335</v>
      </c>
      <c r="I145" s="46"/>
    </row>
    <row r="146" spans="1:9" x14ac:dyDescent="0.25">
      <c r="A146" s="30">
        <v>145</v>
      </c>
      <c r="B146" s="30" t="s">
        <v>176</v>
      </c>
      <c r="C146" s="30">
        <v>6</v>
      </c>
      <c r="D146" s="38">
        <v>9</v>
      </c>
      <c r="E146" s="30">
        <v>8</v>
      </c>
      <c r="F146" s="32">
        <f t="shared" si="5"/>
        <v>322</v>
      </c>
      <c r="G146" s="32">
        <f t="shared" si="4"/>
        <v>329</v>
      </c>
      <c r="H146" s="52" t="s">
        <v>336</v>
      </c>
      <c r="I146" s="46"/>
    </row>
    <row r="147" spans="1:9" x14ac:dyDescent="0.25">
      <c r="A147" s="30">
        <v>146</v>
      </c>
      <c r="B147" s="30" t="s">
        <v>177</v>
      </c>
      <c r="C147" s="30">
        <v>6</v>
      </c>
      <c r="D147" s="38">
        <v>10</v>
      </c>
      <c r="E147" s="30">
        <v>8</v>
      </c>
      <c r="F147" s="32">
        <f t="shared" si="5"/>
        <v>330</v>
      </c>
      <c r="G147" s="32">
        <f t="shared" si="4"/>
        <v>337</v>
      </c>
      <c r="H147" s="52" t="s">
        <v>337</v>
      </c>
      <c r="I147" s="46"/>
    </row>
    <row r="148" spans="1:9" x14ac:dyDescent="0.25">
      <c r="A148" s="30">
        <v>147</v>
      </c>
      <c r="B148" s="35" t="s">
        <v>594</v>
      </c>
      <c r="C148" s="36"/>
      <c r="D148" s="36"/>
      <c r="E148" s="35">
        <v>3</v>
      </c>
      <c r="F148" s="32">
        <f t="shared" si="5"/>
        <v>338</v>
      </c>
      <c r="G148" s="32">
        <f t="shared" si="4"/>
        <v>340</v>
      </c>
      <c r="H148" s="52" t="s">
        <v>215</v>
      </c>
      <c r="I148" s="46"/>
    </row>
    <row r="149" spans="1:9" x14ac:dyDescent="0.25">
      <c r="A149" s="30">
        <v>148</v>
      </c>
      <c r="B149" s="35" t="s">
        <v>560</v>
      </c>
      <c r="C149" s="36"/>
      <c r="D149" s="36"/>
      <c r="E149" s="35">
        <v>10</v>
      </c>
      <c r="F149" s="32">
        <f t="shared" si="5"/>
        <v>341</v>
      </c>
      <c r="G149" s="32">
        <f t="shared" si="4"/>
        <v>350</v>
      </c>
      <c r="H149" s="52" t="s">
        <v>216</v>
      </c>
      <c r="I149" s="46"/>
    </row>
    <row r="150" spans="1:9" x14ac:dyDescent="0.25">
      <c r="A150" s="30">
        <v>149</v>
      </c>
      <c r="B150" s="35" t="s">
        <v>586</v>
      </c>
      <c r="C150" s="36"/>
      <c r="D150" s="36"/>
      <c r="E150" s="35">
        <v>3</v>
      </c>
      <c r="F150" s="32">
        <f t="shared" si="5"/>
        <v>351</v>
      </c>
      <c r="G150" s="32">
        <f t="shared" si="4"/>
        <v>353</v>
      </c>
      <c r="H150" s="52" t="s">
        <v>575</v>
      </c>
      <c r="I150" s="46"/>
    </row>
    <row r="151" spans="1:9" x14ac:dyDescent="0.25">
      <c r="A151" s="30">
        <v>150</v>
      </c>
      <c r="B151" s="35" t="s">
        <v>565</v>
      </c>
      <c r="C151" s="36"/>
      <c r="D151" s="36"/>
      <c r="E151" s="35">
        <v>10</v>
      </c>
      <c r="F151" s="32">
        <f t="shared" si="5"/>
        <v>354</v>
      </c>
      <c r="G151" s="32">
        <f t="shared" si="4"/>
        <v>363</v>
      </c>
      <c r="H151" s="53" t="s">
        <v>561</v>
      </c>
      <c r="I151" s="46"/>
    </row>
    <row r="152" spans="1:9" x14ac:dyDescent="0.25">
      <c r="A152" s="30">
        <v>151</v>
      </c>
      <c r="B152" s="35" t="s">
        <v>567</v>
      </c>
      <c r="C152" s="36"/>
      <c r="D152" s="37"/>
      <c r="E152" s="35">
        <v>4</v>
      </c>
      <c r="F152" s="32">
        <f t="shared" si="5"/>
        <v>364</v>
      </c>
      <c r="G152" s="32">
        <f t="shared" si="4"/>
        <v>367</v>
      </c>
      <c r="H152" s="53" t="s">
        <v>562</v>
      </c>
      <c r="I152" s="46"/>
    </row>
    <row r="153" spans="1:9" x14ac:dyDescent="0.25">
      <c r="A153" s="30">
        <v>152</v>
      </c>
      <c r="B153" s="35" t="s">
        <v>566</v>
      </c>
      <c r="C153" s="36"/>
      <c r="D153" s="46"/>
      <c r="E153" s="46">
        <v>2</v>
      </c>
      <c r="F153" s="32">
        <f t="shared" si="5"/>
        <v>368</v>
      </c>
      <c r="G153" s="32">
        <f t="shared" si="4"/>
        <v>369</v>
      </c>
      <c r="H153" s="53" t="s">
        <v>563</v>
      </c>
      <c r="I153" s="46"/>
    </row>
    <row r="154" spans="1:9" x14ac:dyDescent="0.25">
      <c r="A154" s="30">
        <v>153</v>
      </c>
      <c r="B154" s="35" t="s">
        <v>595</v>
      </c>
      <c r="C154" s="46"/>
      <c r="D154" s="46"/>
      <c r="E154" s="35">
        <v>2</v>
      </c>
      <c r="F154" s="32">
        <f t="shared" si="5"/>
        <v>370</v>
      </c>
      <c r="G154" s="32">
        <f t="shared" si="4"/>
        <v>371</v>
      </c>
      <c r="H154" s="53" t="s">
        <v>599</v>
      </c>
      <c r="I154" s="54" t="s">
        <v>597</v>
      </c>
    </row>
    <row r="155" spans="1:9" x14ac:dyDescent="0.25"/>
    <row r="156" spans="1:9" x14ac:dyDescent="0.25"/>
    <row r="157" spans="1:9" x14ac:dyDescent="0.25"/>
    <row r="158" spans="1:9" x14ac:dyDescent="0.25"/>
    <row r="159" spans="1:9" x14ac:dyDescent="0.25"/>
  </sheetData>
  <sheetProtection sheet="1" objects="1" scenario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3"/>
  <sheetViews>
    <sheetView showGridLines="0" workbookViewId="0">
      <selection activeCell="F1" sqref="F1"/>
    </sheetView>
  </sheetViews>
  <sheetFormatPr defaultColWidth="9.140625" defaultRowHeight="15" x14ac:dyDescent="0.25"/>
  <cols>
    <col min="1" max="1" width="3.42578125" bestFit="1" customWidth="1"/>
    <col min="2" max="2" width="84.140625" bestFit="1" customWidth="1"/>
    <col min="3" max="3" width="9.42578125" bestFit="1" customWidth="1"/>
    <col min="4" max="4" width="10.28515625" bestFit="1" customWidth="1"/>
    <col min="5" max="5" width="12" bestFit="1" customWidth="1"/>
    <col min="6" max="6" width="11.140625" bestFit="1" customWidth="1"/>
  </cols>
  <sheetData>
    <row r="1" spans="1:6" x14ac:dyDescent="0.25">
      <c r="A1" s="28" t="s">
        <v>0</v>
      </c>
      <c r="B1" s="28" t="s">
        <v>1</v>
      </c>
      <c r="C1" s="29" t="s">
        <v>2</v>
      </c>
      <c r="D1" s="29" t="s">
        <v>159</v>
      </c>
      <c r="E1" s="29" t="s">
        <v>3</v>
      </c>
      <c r="F1" s="28" t="s">
        <v>180</v>
      </c>
    </row>
    <row r="2" spans="1:6" x14ac:dyDescent="0.25">
      <c r="A2" s="30">
        <v>1</v>
      </c>
      <c r="B2" s="30" t="s">
        <v>150</v>
      </c>
      <c r="C2" s="31"/>
      <c r="D2" s="31"/>
      <c r="E2" s="30">
        <v>4</v>
      </c>
      <c r="F2" s="32" t="s">
        <v>181</v>
      </c>
    </row>
    <row r="3" spans="1:6" x14ac:dyDescent="0.25">
      <c r="A3" s="30">
        <v>2</v>
      </c>
      <c r="B3" s="30" t="s">
        <v>23</v>
      </c>
      <c r="C3" s="33">
        <v>1</v>
      </c>
      <c r="D3" s="33">
        <v>2</v>
      </c>
      <c r="E3" s="30">
        <v>3</v>
      </c>
      <c r="F3" s="32" t="s">
        <v>182</v>
      </c>
    </row>
    <row r="4" spans="1:6" x14ac:dyDescent="0.25">
      <c r="A4" s="30">
        <v>3</v>
      </c>
      <c r="B4" s="30" t="s">
        <v>5</v>
      </c>
      <c r="C4" s="33"/>
      <c r="D4" s="33"/>
      <c r="E4" s="30">
        <v>2</v>
      </c>
      <c r="F4" s="32" t="s">
        <v>183</v>
      </c>
    </row>
    <row r="5" spans="1:6" x14ac:dyDescent="0.25">
      <c r="A5" s="30">
        <v>4</v>
      </c>
      <c r="B5" s="30" t="s">
        <v>6</v>
      </c>
      <c r="C5" s="33"/>
      <c r="D5" s="33"/>
      <c r="E5" s="30">
        <v>2</v>
      </c>
      <c r="F5" s="32" t="s">
        <v>184</v>
      </c>
    </row>
    <row r="6" spans="1:6" x14ac:dyDescent="0.25">
      <c r="A6" s="30">
        <v>5</v>
      </c>
      <c r="B6" s="30" t="s">
        <v>7</v>
      </c>
      <c r="C6" s="33">
        <v>1</v>
      </c>
      <c r="D6" s="33">
        <v>3</v>
      </c>
      <c r="E6" s="30">
        <v>1</v>
      </c>
      <c r="F6" s="32" t="s">
        <v>185</v>
      </c>
    </row>
    <row r="7" spans="1:6" x14ac:dyDescent="0.25">
      <c r="A7" s="30">
        <v>6</v>
      </c>
      <c r="B7" s="30" t="s">
        <v>11</v>
      </c>
      <c r="C7" s="33">
        <v>0</v>
      </c>
      <c r="D7" s="33">
        <v>1</v>
      </c>
      <c r="E7" s="30">
        <v>2</v>
      </c>
      <c r="F7" s="32" t="s">
        <v>186</v>
      </c>
    </row>
    <row r="8" spans="1:6" x14ac:dyDescent="0.25">
      <c r="A8" s="30">
        <v>7</v>
      </c>
      <c r="B8" s="35" t="s">
        <v>160</v>
      </c>
      <c r="C8" s="36">
        <v>1</v>
      </c>
      <c r="D8" s="36">
        <v>4</v>
      </c>
      <c r="E8" s="35">
        <v>2</v>
      </c>
      <c r="F8" s="32" t="s">
        <v>187</v>
      </c>
    </row>
    <row r="9" spans="1:6" x14ac:dyDescent="0.25">
      <c r="A9" s="30">
        <v>8</v>
      </c>
      <c r="B9" s="35" t="s">
        <v>31</v>
      </c>
      <c r="C9" s="36">
        <v>1</v>
      </c>
      <c r="D9" s="36">
        <v>4</v>
      </c>
      <c r="E9" s="35">
        <v>3</v>
      </c>
      <c r="F9" s="32" t="s">
        <v>188</v>
      </c>
    </row>
    <row r="10" spans="1:6" x14ac:dyDescent="0.25">
      <c r="A10" s="30">
        <v>9</v>
      </c>
      <c r="B10" s="30" t="s">
        <v>12</v>
      </c>
      <c r="C10" s="33">
        <v>1</v>
      </c>
      <c r="D10" s="33">
        <v>5</v>
      </c>
      <c r="E10" s="30">
        <v>2</v>
      </c>
      <c r="F10" s="32" t="s">
        <v>189</v>
      </c>
    </row>
    <row r="11" spans="1:6" x14ac:dyDescent="0.25">
      <c r="A11" s="30">
        <v>10</v>
      </c>
      <c r="B11" s="30" t="s">
        <v>13</v>
      </c>
      <c r="C11" s="33">
        <v>1</v>
      </c>
      <c r="D11" s="33">
        <v>6</v>
      </c>
      <c r="E11" s="30">
        <v>2</v>
      </c>
      <c r="F11" s="32" t="s">
        <v>190</v>
      </c>
    </row>
    <row r="12" spans="1:6" x14ac:dyDescent="0.25">
      <c r="A12" s="30">
        <v>11</v>
      </c>
      <c r="B12" s="30" t="s">
        <v>14</v>
      </c>
      <c r="C12" s="33">
        <v>1</v>
      </c>
      <c r="D12" s="33">
        <v>11</v>
      </c>
      <c r="E12" s="30">
        <v>1</v>
      </c>
      <c r="F12" s="32" t="s">
        <v>191</v>
      </c>
    </row>
    <row r="13" spans="1:6" x14ac:dyDescent="0.25">
      <c r="A13" s="30">
        <v>12</v>
      </c>
      <c r="B13" s="30" t="s">
        <v>15</v>
      </c>
      <c r="C13" s="31">
        <v>1</v>
      </c>
      <c r="D13" s="31">
        <v>12</v>
      </c>
      <c r="E13" s="30">
        <v>4</v>
      </c>
      <c r="F13" s="32" t="s">
        <v>192</v>
      </c>
    </row>
    <row r="14" spans="1:6" x14ac:dyDescent="0.25">
      <c r="A14" s="30">
        <v>13</v>
      </c>
      <c r="B14" s="30" t="s">
        <v>151</v>
      </c>
      <c r="C14" s="33">
        <v>1</v>
      </c>
      <c r="D14" s="33">
        <v>1</v>
      </c>
      <c r="E14" s="30">
        <v>5</v>
      </c>
      <c r="F14" s="32" t="s">
        <v>193</v>
      </c>
    </row>
    <row r="15" spans="1:6" x14ac:dyDescent="0.25">
      <c r="A15" s="30">
        <v>14</v>
      </c>
      <c r="B15" s="30" t="s">
        <v>8</v>
      </c>
      <c r="C15" s="33">
        <v>1</v>
      </c>
      <c r="D15" s="33">
        <v>13</v>
      </c>
      <c r="E15" s="30">
        <v>1</v>
      </c>
      <c r="F15" s="32" t="s">
        <v>194</v>
      </c>
    </row>
    <row r="16" spans="1:6" x14ac:dyDescent="0.25">
      <c r="A16" s="30">
        <v>15</v>
      </c>
      <c r="B16" s="30" t="s">
        <v>9</v>
      </c>
      <c r="C16" s="33">
        <v>1</v>
      </c>
      <c r="D16" s="33">
        <v>14</v>
      </c>
      <c r="E16" s="30">
        <v>1</v>
      </c>
      <c r="F16" s="32" t="s">
        <v>195</v>
      </c>
    </row>
    <row r="17" spans="1:6" x14ac:dyDescent="0.25">
      <c r="A17" s="30">
        <v>16</v>
      </c>
      <c r="B17" s="30" t="s">
        <v>10</v>
      </c>
      <c r="C17" s="33">
        <v>1</v>
      </c>
      <c r="D17" s="33">
        <v>15</v>
      </c>
      <c r="E17" s="30">
        <v>2</v>
      </c>
      <c r="F17" s="32" t="s">
        <v>196</v>
      </c>
    </row>
    <row r="18" spans="1:6" x14ac:dyDescent="0.25">
      <c r="A18" s="30">
        <v>17</v>
      </c>
      <c r="B18" s="30" t="s">
        <v>24</v>
      </c>
      <c r="C18" s="33">
        <v>1</v>
      </c>
      <c r="D18" s="33">
        <v>9</v>
      </c>
      <c r="E18" s="30">
        <v>2</v>
      </c>
      <c r="F18" s="32" t="s">
        <v>197</v>
      </c>
    </row>
    <row r="19" spans="1:6" x14ac:dyDescent="0.25">
      <c r="A19" s="30">
        <v>18</v>
      </c>
      <c r="B19" s="30" t="s">
        <v>25</v>
      </c>
      <c r="C19" s="33">
        <v>1</v>
      </c>
      <c r="D19" s="33">
        <v>17</v>
      </c>
      <c r="E19" s="30">
        <v>1</v>
      </c>
      <c r="F19" s="32" t="s">
        <v>198</v>
      </c>
    </row>
    <row r="20" spans="1:6" x14ac:dyDescent="0.25">
      <c r="A20" s="30">
        <v>19</v>
      </c>
      <c r="B20" s="30" t="s">
        <v>16</v>
      </c>
      <c r="C20" s="33">
        <v>1</v>
      </c>
      <c r="D20" s="33">
        <v>18</v>
      </c>
      <c r="E20" s="30">
        <v>1</v>
      </c>
      <c r="F20" s="32" t="s">
        <v>199</v>
      </c>
    </row>
    <row r="21" spans="1:6" x14ac:dyDescent="0.25">
      <c r="A21" s="30">
        <v>20</v>
      </c>
      <c r="B21" s="30" t="s">
        <v>27</v>
      </c>
      <c r="C21" s="33">
        <v>1</v>
      </c>
      <c r="D21" s="33">
        <v>19</v>
      </c>
      <c r="E21" s="30">
        <v>1</v>
      </c>
      <c r="F21" s="32" t="s">
        <v>200</v>
      </c>
    </row>
    <row r="22" spans="1:6" x14ac:dyDescent="0.25">
      <c r="A22" s="30">
        <v>21</v>
      </c>
      <c r="B22" s="30" t="s">
        <v>18</v>
      </c>
      <c r="C22" s="33">
        <v>3</v>
      </c>
      <c r="D22" s="33">
        <v>1</v>
      </c>
      <c r="E22" s="30">
        <v>2</v>
      </c>
      <c r="F22" s="32" t="s">
        <v>201</v>
      </c>
    </row>
    <row r="23" spans="1:6" x14ac:dyDescent="0.25">
      <c r="A23" s="30">
        <v>22</v>
      </c>
      <c r="B23" s="30" t="s">
        <v>19</v>
      </c>
      <c r="C23" s="33">
        <v>3</v>
      </c>
      <c r="D23" s="33">
        <v>2</v>
      </c>
      <c r="E23" s="30">
        <v>1</v>
      </c>
      <c r="F23" s="32" t="s">
        <v>202</v>
      </c>
    </row>
    <row r="24" spans="1:6" x14ac:dyDescent="0.25">
      <c r="A24" s="30">
        <v>23</v>
      </c>
      <c r="B24" s="30" t="s">
        <v>20</v>
      </c>
      <c r="C24" s="33">
        <v>3</v>
      </c>
      <c r="D24" s="33">
        <v>3</v>
      </c>
      <c r="E24" s="30">
        <v>1</v>
      </c>
      <c r="F24" s="32" t="s">
        <v>203</v>
      </c>
    </row>
    <row r="25" spans="1:6" x14ac:dyDescent="0.25">
      <c r="A25" s="30">
        <v>24</v>
      </c>
      <c r="B25" s="30" t="s">
        <v>21</v>
      </c>
      <c r="C25" s="33">
        <v>3</v>
      </c>
      <c r="D25" s="33">
        <v>4</v>
      </c>
      <c r="E25" s="30">
        <v>1</v>
      </c>
      <c r="F25" s="32" t="s">
        <v>204</v>
      </c>
    </row>
    <row r="26" spans="1:6" x14ac:dyDescent="0.25">
      <c r="A26" s="35">
        <v>25</v>
      </c>
      <c r="B26" s="37" t="s">
        <v>22</v>
      </c>
      <c r="C26" s="36">
        <v>3</v>
      </c>
      <c r="D26" s="36">
        <v>5</v>
      </c>
      <c r="E26" s="37">
        <v>8</v>
      </c>
      <c r="F26" s="32" t="s">
        <v>210</v>
      </c>
    </row>
    <row r="27" spans="1:6" x14ac:dyDescent="0.25">
      <c r="A27" s="35">
        <v>26</v>
      </c>
      <c r="B27" s="35" t="s">
        <v>26</v>
      </c>
      <c r="C27" s="36">
        <v>1</v>
      </c>
      <c r="D27" s="36">
        <v>16</v>
      </c>
      <c r="E27" s="35">
        <v>2</v>
      </c>
      <c r="F27" s="32" t="s">
        <v>211</v>
      </c>
    </row>
    <row r="28" spans="1:6" x14ac:dyDescent="0.25">
      <c r="A28" s="35">
        <v>27</v>
      </c>
      <c r="B28" s="35" t="s">
        <v>28</v>
      </c>
      <c r="C28" s="36">
        <v>2</v>
      </c>
      <c r="D28" s="36" t="s">
        <v>29</v>
      </c>
      <c r="E28" s="35">
        <v>8</v>
      </c>
      <c r="F28" s="32" t="s">
        <v>212</v>
      </c>
    </row>
    <row r="29" spans="1:6" x14ac:dyDescent="0.25">
      <c r="A29" s="35">
        <v>28</v>
      </c>
      <c r="B29" s="35" t="s">
        <v>17</v>
      </c>
      <c r="C29" s="36">
        <v>2</v>
      </c>
      <c r="D29" s="36">
        <v>4</v>
      </c>
      <c r="E29" s="35">
        <v>4</v>
      </c>
      <c r="F29" s="32" t="s">
        <v>213</v>
      </c>
    </row>
    <row r="30" spans="1:6" x14ac:dyDescent="0.25">
      <c r="A30" s="35">
        <v>29</v>
      </c>
      <c r="B30" s="35" t="s">
        <v>153</v>
      </c>
      <c r="C30" s="36" t="s">
        <v>30</v>
      </c>
      <c r="D30" s="36"/>
      <c r="E30" s="35">
        <v>3</v>
      </c>
      <c r="F30" s="32" t="s">
        <v>214</v>
      </c>
    </row>
    <row r="31" spans="1:6" x14ac:dyDescent="0.25">
      <c r="A31" s="35">
        <v>30</v>
      </c>
      <c r="B31" s="35" t="s">
        <v>152</v>
      </c>
      <c r="C31" s="36" t="s">
        <v>30</v>
      </c>
      <c r="D31" s="36"/>
      <c r="E31" s="35">
        <v>3</v>
      </c>
      <c r="F31" s="32" t="s">
        <v>215</v>
      </c>
    </row>
    <row r="32" spans="1:6" x14ac:dyDescent="0.25">
      <c r="A32" s="35">
        <v>31</v>
      </c>
      <c r="B32" s="35" t="s">
        <v>154</v>
      </c>
      <c r="C32" s="36" t="s">
        <v>30</v>
      </c>
      <c r="D32" s="36"/>
      <c r="E32" s="35">
        <v>10</v>
      </c>
      <c r="F32" s="32" t="s">
        <v>216</v>
      </c>
    </row>
    <row r="33" spans="1:6" x14ac:dyDescent="0.25">
      <c r="A33" s="35">
        <v>32</v>
      </c>
      <c r="B33" s="30" t="s">
        <v>339</v>
      </c>
      <c r="C33" s="36" t="s">
        <v>30</v>
      </c>
      <c r="D33" s="37"/>
      <c r="E33" s="35">
        <v>1</v>
      </c>
      <c r="F33" s="32" t="s">
        <v>217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05"/>
  <sheetViews>
    <sheetView showGridLines="0" workbookViewId="0">
      <selection activeCell="L8" sqref="L8"/>
    </sheetView>
  </sheetViews>
  <sheetFormatPr defaultRowHeight="15" x14ac:dyDescent="0.25"/>
  <cols>
    <col min="1" max="1" width="4" bestFit="1" customWidth="1"/>
    <col min="2" max="2" width="84.140625" bestFit="1" customWidth="1"/>
    <col min="3" max="3" width="9.42578125" bestFit="1" customWidth="1"/>
    <col min="4" max="4" width="10.28515625" bestFit="1" customWidth="1"/>
    <col min="5" max="5" width="12" bestFit="1" customWidth="1"/>
    <col min="6" max="6" width="11.140625" bestFit="1" customWidth="1"/>
  </cols>
  <sheetData>
    <row r="1" spans="1:6" x14ac:dyDescent="0.25">
      <c r="A1" s="28" t="s">
        <v>0</v>
      </c>
      <c r="B1" s="28" t="s">
        <v>1</v>
      </c>
      <c r="C1" s="29" t="s">
        <v>2</v>
      </c>
      <c r="D1" s="29" t="s">
        <v>159</v>
      </c>
      <c r="E1" s="29" t="s">
        <v>3</v>
      </c>
      <c r="F1" s="28" t="s">
        <v>180</v>
      </c>
    </row>
    <row r="2" spans="1:6" x14ac:dyDescent="0.25">
      <c r="A2" s="30">
        <v>1</v>
      </c>
      <c r="B2" s="30" t="s">
        <v>150</v>
      </c>
      <c r="C2" s="34"/>
      <c r="D2" s="30"/>
      <c r="E2" s="30">
        <v>4</v>
      </c>
      <c r="F2" s="32" t="s">
        <v>181</v>
      </c>
    </row>
    <row r="3" spans="1:6" x14ac:dyDescent="0.25">
      <c r="A3" s="30">
        <v>2</v>
      </c>
      <c r="B3" s="30" t="s">
        <v>23</v>
      </c>
      <c r="C3" s="38">
        <v>1</v>
      </c>
      <c r="D3" s="38">
        <v>2</v>
      </c>
      <c r="E3" s="30">
        <v>3</v>
      </c>
      <c r="F3" s="32" t="s">
        <v>182</v>
      </c>
    </row>
    <row r="4" spans="1:6" x14ac:dyDescent="0.25">
      <c r="A4" s="30">
        <v>3</v>
      </c>
      <c r="B4" s="30" t="s">
        <v>5</v>
      </c>
      <c r="C4" s="38"/>
      <c r="D4" s="38"/>
      <c r="E4" s="30">
        <v>2</v>
      </c>
      <c r="F4" s="32" t="s">
        <v>183</v>
      </c>
    </row>
    <row r="5" spans="1:6" x14ac:dyDescent="0.25">
      <c r="A5" s="41">
        <v>4</v>
      </c>
      <c r="B5" s="30" t="s">
        <v>6</v>
      </c>
      <c r="C5" s="42"/>
      <c r="D5" s="42"/>
      <c r="E5" s="41">
        <v>2</v>
      </c>
      <c r="F5" s="32" t="s">
        <v>184</v>
      </c>
    </row>
    <row r="6" spans="1:6" x14ac:dyDescent="0.25">
      <c r="A6" s="30">
        <v>5</v>
      </c>
      <c r="B6" s="30" t="s">
        <v>7</v>
      </c>
      <c r="C6" s="38">
        <v>1</v>
      </c>
      <c r="D6" s="38">
        <v>3</v>
      </c>
      <c r="E6" s="30">
        <v>1</v>
      </c>
      <c r="F6" s="32" t="s">
        <v>185</v>
      </c>
    </row>
    <row r="7" spans="1:6" x14ac:dyDescent="0.25">
      <c r="A7" s="30">
        <v>6</v>
      </c>
      <c r="B7" s="30" t="s">
        <v>11</v>
      </c>
      <c r="C7" s="30"/>
      <c r="D7" s="30"/>
      <c r="E7" s="30">
        <v>2</v>
      </c>
      <c r="F7" s="32" t="s">
        <v>186</v>
      </c>
    </row>
    <row r="8" spans="1:6" x14ac:dyDescent="0.25">
      <c r="A8" s="30">
        <v>7</v>
      </c>
      <c r="B8" s="35" t="s">
        <v>160</v>
      </c>
      <c r="C8" s="36">
        <v>1</v>
      </c>
      <c r="D8" s="36">
        <v>4</v>
      </c>
      <c r="E8" s="31">
        <v>2</v>
      </c>
      <c r="F8" s="32" t="s">
        <v>187</v>
      </c>
    </row>
    <row r="9" spans="1:6" x14ac:dyDescent="0.25">
      <c r="A9" s="30">
        <v>8</v>
      </c>
      <c r="B9" s="35" t="s">
        <v>31</v>
      </c>
      <c r="C9" s="39">
        <v>1</v>
      </c>
      <c r="D9" s="39">
        <v>4</v>
      </c>
      <c r="E9" s="30">
        <v>3</v>
      </c>
      <c r="F9" s="32" t="s">
        <v>188</v>
      </c>
    </row>
    <row r="10" spans="1:6" x14ac:dyDescent="0.25">
      <c r="A10" s="30">
        <v>9</v>
      </c>
      <c r="B10" s="30" t="s">
        <v>12</v>
      </c>
      <c r="C10" s="30">
        <v>1</v>
      </c>
      <c r="D10" s="30">
        <v>5</v>
      </c>
      <c r="E10" s="30">
        <v>2</v>
      </c>
      <c r="F10" s="32" t="s">
        <v>189</v>
      </c>
    </row>
    <row r="11" spans="1:6" x14ac:dyDescent="0.25">
      <c r="A11" s="30">
        <v>10</v>
      </c>
      <c r="B11" s="30" t="s">
        <v>13</v>
      </c>
      <c r="C11" s="30">
        <v>1</v>
      </c>
      <c r="D11" s="30">
        <v>6</v>
      </c>
      <c r="E11" s="30">
        <v>2</v>
      </c>
      <c r="F11" s="32" t="s">
        <v>190</v>
      </c>
    </row>
    <row r="12" spans="1:6" x14ac:dyDescent="0.25">
      <c r="A12" s="30">
        <v>11</v>
      </c>
      <c r="B12" s="30" t="s">
        <v>14</v>
      </c>
      <c r="C12" s="30">
        <v>1</v>
      </c>
      <c r="D12" s="30">
        <v>11</v>
      </c>
      <c r="E12" s="30">
        <v>1</v>
      </c>
      <c r="F12" s="32" t="s">
        <v>191</v>
      </c>
    </row>
    <row r="13" spans="1:6" x14ac:dyDescent="0.25">
      <c r="A13" s="30">
        <v>12</v>
      </c>
      <c r="B13" s="30" t="s">
        <v>15</v>
      </c>
      <c r="C13" s="30">
        <v>1</v>
      </c>
      <c r="D13" s="30">
        <v>12</v>
      </c>
      <c r="E13" s="30">
        <v>4</v>
      </c>
      <c r="F13" s="32" t="s">
        <v>192</v>
      </c>
    </row>
    <row r="14" spans="1:6" x14ac:dyDescent="0.25">
      <c r="A14" s="30">
        <v>13</v>
      </c>
      <c r="B14" s="30" t="s">
        <v>151</v>
      </c>
      <c r="C14" s="30">
        <v>1</v>
      </c>
      <c r="D14" s="30">
        <v>1</v>
      </c>
      <c r="E14" s="30">
        <v>5</v>
      </c>
      <c r="F14" s="32" t="s">
        <v>193</v>
      </c>
    </row>
    <row r="15" spans="1:6" x14ac:dyDescent="0.25">
      <c r="A15" s="30">
        <v>14</v>
      </c>
      <c r="B15" s="30" t="s">
        <v>8</v>
      </c>
      <c r="C15" s="30">
        <v>1</v>
      </c>
      <c r="D15" s="30">
        <v>13</v>
      </c>
      <c r="E15" s="30">
        <v>1</v>
      </c>
      <c r="F15" s="32" t="s">
        <v>194</v>
      </c>
    </row>
    <row r="16" spans="1:6" x14ac:dyDescent="0.25">
      <c r="A16" s="30">
        <v>15</v>
      </c>
      <c r="B16" s="30" t="s">
        <v>9</v>
      </c>
      <c r="C16" s="30">
        <v>1</v>
      </c>
      <c r="D16" s="30">
        <v>14</v>
      </c>
      <c r="E16" s="30">
        <v>1</v>
      </c>
      <c r="F16" s="32" t="s">
        <v>195</v>
      </c>
    </row>
    <row r="17" spans="1:6" x14ac:dyDescent="0.25">
      <c r="A17" s="30">
        <v>16</v>
      </c>
      <c r="B17" s="30" t="s">
        <v>10</v>
      </c>
      <c r="C17" s="30">
        <v>1</v>
      </c>
      <c r="D17" s="30">
        <v>15</v>
      </c>
      <c r="E17" s="30">
        <v>2</v>
      </c>
      <c r="F17" s="32" t="s">
        <v>196</v>
      </c>
    </row>
    <row r="18" spans="1:6" x14ac:dyDescent="0.25">
      <c r="A18" s="30">
        <v>17</v>
      </c>
      <c r="B18" s="30" t="s">
        <v>32</v>
      </c>
      <c r="C18" s="30">
        <v>4</v>
      </c>
      <c r="D18" s="30">
        <v>1</v>
      </c>
      <c r="E18" s="30">
        <v>2</v>
      </c>
      <c r="F18" s="32" t="s">
        <v>218</v>
      </c>
    </row>
    <row r="19" spans="1:6" x14ac:dyDescent="0.25">
      <c r="A19" s="30">
        <v>19</v>
      </c>
      <c r="B19" s="30" t="s">
        <v>33</v>
      </c>
      <c r="C19" s="30">
        <v>4</v>
      </c>
      <c r="D19" s="30">
        <v>4</v>
      </c>
      <c r="E19" s="30">
        <v>1</v>
      </c>
      <c r="F19" s="32" t="s">
        <v>219</v>
      </c>
    </row>
    <row r="20" spans="1:6" x14ac:dyDescent="0.25">
      <c r="A20" s="30">
        <v>20</v>
      </c>
      <c r="B20" s="30" t="s">
        <v>220</v>
      </c>
      <c r="C20" s="30">
        <v>4</v>
      </c>
      <c r="D20" s="30">
        <v>5</v>
      </c>
      <c r="E20" s="30">
        <v>1</v>
      </c>
      <c r="F20" s="32" t="s">
        <v>221</v>
      </c>
    </row>
    <row r="21" spans="1:6" x14ac:dyDescent="0.25">
      <c r="A21" s="30">
        <v>21</v>
      </c>
      <c r="B21" s="30" t="s">
        <v>34</v>
      </c>
      <c r="C21" s="30">
        <v>4</v>
      </c>
      <c r="D21" s="30">
        <v>6</v>
      </c>
      <c r="E21" s="30">
        <v>3</v>
      </c>
      <c r="F21" s="32" t="s">
        <v>222</v>
      </c>
    </row>
    <row r="22" spans="1:6" x14ac:dyDescent="0.25">
      <c r="A22" s="30">
        <v>22</v>
      </c>
      <c r="B22" s="30" t="s">
        <v>35</v>
      </c>
      <c r="C22" s="30">
        <v>4</v>
      </c>
      <c r="D22" s="30">
        <v>7</v>
      </c>
      <c r="E22" s="30">
        <v>1</v>
      </c>
      <c r="F22" s="32" t="s">
        <v>223</v>
      </c>
    </row>
    <row r="23" spans="1:6" x14ac:dyDescent="0.25">
      <c r="A23" s="30">
        <v>23</v>
      </c>
      <c r="B23" s="30" t="s">
        <v>36</v>
      </c>
      <c r="C23" s="30">
        <v>4</v>
      </c>
      <c r="D23" s="30">
        <v>8</v>
      </c>
      <c r="E23" s="30">
        <v>2</v>
      </c>
      <c r="F23" s="32" t="s">
        <v>224</v>
      </c>
    </row>
    <row r="24" spans="1:6" x14ac:dyDescent="0.25">
      <c r="A24" s="30">
        <v>24</v>
      </c>
      <c r="B24" s="30" t="s">
        <v>37</v>
      </c>
      <c r="C24" s="30">
        <v>4</v>
      </c>
      <c r="D24" s="30">
        <v>9</v>
      </c>
      <c r="E24" s="30">
        <v>2</v>
      </c>
      <c r="F24" s="32" t="s">
        <v>225</v>
      </c>
    </row>
    <row r="25" spans="1:6" x14ac:dyDescent="0.25">
      <c r="A25" s="30">
        <v>25</v>
      </c>
      <c r="B25" s="30" t="s">
        <v>38</v>
      </c>
      <c r="C25" s="30">
        <v>4</v>
      </c>
      <c r="D25" s="30">
        <v>10</v>
      </c>
      <c r="E25" s="30">
        <v>2</v>
      </c>
      <c r="F25" s="32" t="s">
        <v>226</v>
      </c>
    </row>
    <row r="26" spans="1:6" x14ac:dyDescent="0.25">
      <c r="A26" s="30">
        <v>26</v>
      </c>
      <c r="B26" s="30" t="s">
        <v>39</v>
      </c>
      <c r="C26" s="30">
        <v>4</v>
      </c>
      <c r="D26" s="30">
        <v>11</v>
      </c>
      <c r="E26" s="30">
        <v>2</v>
      </c>
      <c r="F26" s="32" t="s">
        <v>227</v>
      </c>
    </row>
    <row r="27" spans="1:6" x14ac:dyDescent="0.25">
      <c r="A27" s="30">
        <v>27</v>
      </c>
      <c r="B27" s="30" t="s">
        <v>61</v>
      </c>
      <c r="C27" s="30">
        <v>6</v>
      </c>
      <c r="D27" s="38" t="s">
        <v>69</v>
      </c>
      <c r="E27" s="30">
        <v>2</v>
      </c>
      <c r="F27" s="32" t="s">
        <v>263</v>
      </c>
    </row>
    <row r="28" spans="1:6" x14ac:dyDescent="0.25">
      <c r="A28" s="30">
        <v>28</v>
      </c>
      <c r="B28" s="30" t="s">
        <v>157</v>
      </c>
      <c r="C28" s="30">
        <v>6</v>
      </c>
      <c r="D28" s="38" t="s">
        <v>70</v>
      </c>
      <c r="E28" s="30">
        <v>2</v>
      </c>
      <c r="F28" s="32" t="s">
        <v>264</v>
      </c>
    </row>
    <row r="29" spans="1:6" x14ac:dyDescent="0.25">
      <c r="A29" s="30">
        <v>29</v>
      </c>
      <c r="B29" s="30" t="s">
        <v>74</v>
      </c>
      <c r="C29" s="30">
        <v>6</v>
      </c>
      <c r="D29" s="38" t="s">
        <v>63</v>
      </c>
      <c r="E29" s="30">
        <v>2</v>
      </c>
      <c r="F29" s="32" t="s">
        <v>265</v>
      </c>
    </row>
    <row r="30" spans="1:6" x14ac:dyDescent="0.25">
      <c r="A30" s="30">
        <v>30</v>
      </c>
      <c r="B30" s="30" t="s">
        <v>73</v>
      </c>
      <c r="C30" s="30">
        <v>6</v>
      </c>
      <c r="D30" s="38" t="s">
        <v>66</v>
      </c>
      <c r="E30" s="30">
        <v>5</v>
      </c>
      <c r="F30" s="32" t="s">
        <v>266</v>
      </c>
    </row>
    <row r="31" spans="1:6" x14ac:dyDescent="0.25">
      <c r="A31" s="30">
        <v>31</v>
      </c>
      <c r="B31" s="30" t="s">
        <v>62</v>
      </c>
      <c r="C31" s="30">
        <v>6</v>
      </c>
      <c r="D31" s="38" t="s">
        <v>69</v>
      </c>
      <c r="E31" s="30">
        <v>2</v>
      </c>
      <c r="F31" s="32" t="s">
        <v>267</v>
      </c>
    </row>
    <row r="32" spans="1:6" x14ac:dyDescent="0.25">
      <c r="A32" s="30">
        <v>32</v>
      </c>
      <c r="B32" s="30" t="s">
        <v>158</v>
      </c>
      <c r="C32" s="30">
        <v>6</v>
      </c>
      <c r="D32" s="38" t="s">
        <v>70</v>
      </c>
      <c r="E32" s="30">
        <v>2</v>
      </c>
      <c r="F32" s="32" t="s">
        <v>268</v>
      </c>
    </row>
    <row r="33" spans="1:6" x14ac:dyDescent="0.25">
      <c r="A33" s="30">
        <v>33</v>
      </c>
      <c r="B33" s="30" t="s">
        <v>87</v>
      </c>
      <c r="C33" s="30">
        <v>6</v>
      </c>
      <c r="D33" s="38" t="s">
        <v>63</v>
      </c>
      <c r="E33" s="30">
        <v>2</v>
      </c>
      <c r="F33" s="32" t="s">
        <v>269</v>
      </c>
    </row>
    <row r="34" spans="1:6" x14ac:dyDescent="0.25">
      <c r="A34" s="30">
        <v>34</v>
      </c>
      <c r="B34" s="30" t="s">
        <v>72</v>
      </c>
      <c r="C34" s="30">
        <v>6</v>
      </c>
      <c r="D34" s="38" t="s">
        <v>66</v>
      </c>
      <c r="E34" s="30">
        <v>5</v>
      </c>
      <c r="F34" s="32" t="s">
        <v>270</v>
      </c>
    </row>
    <row r="35" spans="1:6" x14ac:dyDescent="0.25">
      <c r="A35" s="30">
        <v>35</v>
      </c>
      <c r="B35" s="30" t="s">
        <v>71</v>
      </c>
      <c r="C35" s="30">
        <v>6</v>
      </c>
      <c r="D35" s="38" t="s">
        <v>76</v>
      </c>
      <c r="E35" s="30">
        <v>2</v>
      </c>
      <c r="F35" s="32" t="s">
        <v>271</v>
      </c>
    </row>
    <row r="36" spans="1:6" x14ac:dyDescent="0.25">
      <c r="A36" s="30">
        <v>36</v>
      </c>
      <c r="B36" s="30" t="s">
        <v>75</v>
      </c>
      <c r="C36" s="30">
        <v>6</v>
      </c>
      <c r="D36" s="38" t="s">
        <v>77</v>
      </c>
      <c r="E36" s="30">
        <v>2</v>
      </c>
      <c r="F36" s="32" t="s">
        <v>272</v>
      </c>
    </row>
    <row r="37" spans="1:6" x14ac:dyDescent="0.25">
      <c r="A37" s="30">
        <v>37</v>
      </c>
      <c r="B37" s="30" t="s">
        <v>61</v>
      </c>
      <c r="C37" s="30">
        <v>6</v>
      </c>
      <c r="D37" s="38" t="s">
        <v>79</v>
      </c>
      <c r="E37" s="30">
        <v>2</v>
      </c>
      <c r="F37" s="32" t="s">
        <v>273</v>
      </c>
    </row>
    <row r="38" spans="1:6" x14ac:dyDescent="0.25">
      <c r="A38" s="30">
        <v>38</v>
      </c>
      <c r="B38" s="30" t="s">
        <v>157</v>
      </c>
      <c r="C38" s="30">
        <v>6</v>
      </c>
      <c r="D38" s="38" t="s">
        <v>80</v>
      </c>
      <c r="E38" s="30">
        <v>2</v>
      </c>
      <c r="F38" s="32" t="s">
        <v>274</v>
      </c>
    </row>
    <row r="39" spans="1:6" x14ac:dyDescent="0.25">
      <c r="A39" s="30">
        <v>39</v>
      </c>
      <c r="B39" s="30" t="s">
        <v>82</v>
      </c>
      <c r="C39" s="30">
        <v>6</v>
      </c>
      <c r="D39" s="38" t="s">
        <v>64</v>
      </c>
      <c r="E39" s="30">
        <v>2</v>
      </c>
      <c r="F39" s="32" t="s">
        <v>275</v>
      </c>
    </row>
    <row r="40" spans="1:6" x14ac:dyDescent="0.25">
      <c r="A40" s="30">
        <v>40</v>
      </c>
      <c r="B40" s="30" t="s">
        <v>73</v>
      </c>
      <c r="C40" s="30">
        <v>6</v>
      </c>
      <c r="D40" s="38" t="s">
        <v>65</v>
      </c>
      <c r="E40" s="30">
        <v>5</v>
      </c>
      <c r="F40" s="32" t="s">
        <v>276</v>
      </c>
    </row>
    <row r="41" spans="1:6" x14ac:dyDescent="0.25">
      <c r="A41" s="30">
        <v>41</v>
      </c>
      <c r="B41" s="30" t="s">
        <v>62</v>
      </c>
      <c r="C41" s="30">
        <v>6</v>
      </c>
      <c r="D41" s="38" t="s">
        <v>79</v>
      </c>
      <c r="E41" s="30">
        <v>2</v>
      </c>
      <c r="F41" s="32" t="s">
        <v>277</v>
      </c>
    </row>
    <row r="42" spans="1:6" x14ac:dyDescent="0.25">
      <c r="A42" s="30">
        <v>42</v>
      </c>
      <c r="B42" s="30" t="s">
        <v>158</v>
      </c>
      <c r="C42" s="30">
        <v>6</v>
      </c>
      <c r="D42" s="38" t="s">
        <v>80</v>
      </c>
      <c r="E42" s="30">
        <v>2</v>
      </c>
      <c r="F42" s="32" t="s">
        <v>278</v>
      </c>
    </row>
    <row r="43" spans="1:6" x14ac:dyDescent="0.25">
      <c r="A43" s="30">
        <v>43</v>
      </c>
      <c r="B43" s="30" t="s">
        <v>83</v>
      </c>
      <c r="C43" s="30">
        <v>6</v>
      </c>
      <c r="D43" s="38" t="s">
        <v>64</v>
      </c>
      <c r="E43" s="30">
        <v>2</v>
      </c>
      <c r="F43" s="32" t="s">
        <v>279</v>
      </c>
    </row>
    <row r="44" spans="1:6" x14ac:dyDescent="0.25">
      <c r="A44" s="30">
        <v>44</v>
      </c>
      <c r="B44" s="30" t="s">
        <v>84</v>
      </c>
      <c r="C44" s="30">
        <v>6</v>
      </c>
      <c r="D44" s="38" t="s">
        <v>65</v>
      </c>
      <c r="E44" s="30">
        <v>5</v>
      </c>
      <c r="F44" s="32" t="s">
        <v>280</v>
      </c>
    </row>
    <row r="45" spans="1:6" x14ac:dyDescent="0.25">
      <c r="A45" s="30">
        <v>45</v>
      </c>
      <c r="B45" s="30" t="s">
        <v>85</v>
      </c>
      <c r="C45" s="30">
        <v>6</v>
      </c>
      <c r="D45" s="38" t="s">
        <v>81</v>
      </c>
      <c r="E45" s="30">
        <v>2</v>
      </c>
      <c r="F45" s="32" t="s">
        <v>281</v>
      </c>
    </row>
    <row r="46" spans="1:6" x14ac:dyDescent="0.25">
      <c r="A46" s="30">
        <v>46</v>
      </c>
      <c r="B46" s="30" t="s">
        <v>86</v>
      </c>
      <c r="C46" s="30">
        <v>6</v>
      </c>
      <c r="D46" s="38" t="s">
        <v>78</v>
      </c>
      <c r="E46" s="30">
        <v>2</v>
      </c>
      <c r="F46" s="32" t="s">
        <v>282</v>
      </c>
    </row>
    <row r="47" spans="1:6" x14ac:dyDescent="0.25">
      <c r="A47" s="30">
        <v>47</v>
      </c>
      <c r="B47" s="30" t="s">
        <v>61</v>
      </c>
      <c r="C47" s="30">
        <v>6</v>
      </c>
      <c r="D47" s="38" t="s">
        <v>88</v>
      </c>
      <c r="E47" s="30">
        <v>2</v>
      </c>
      <c r="F47" s="32" t="s">
        <v>283</v>
      </c>
    </row>
    <row r="48" spans="1:6" x14ac:dyDescent="0.25">
      <c r="A48" s="30">
        <v>48</v>
      </c>
      <c r="B48" s="30" t="s">
        <v>157</v>
      </c>
      <c r="C48" s="30">
        <v>6</v>
      </c>
      <c r="D48" s="38" t="s">
        <v>89</v>
      </c>
      <c r="E48" s="30">
        <v>2</v>
      </c>
      <c r="F48" s="32" t="s">
        <v>284</v>
      </c>
    </row>
    <row r="49" spans="1:6" x14ac:dyDescent="0.25">
      <c r="A49" s="30">
        <v>49</v>
      </c>
      <c r="B49" s="30" t="s">
        <v>94</v>
      </c>
      <c r="C49" s="30">
        <v>6</v>
      </c>
      <c r="D49" s="38" t="s">
        <v>90</v>
      </c>
      <c r="E49" s="30">
        <v>2</v>
      </c>
      <c r="F49" s="32" t="s">
        <v>285</v>
      </c>
    </row>
    <row r="50" spans="1:6" x14ac:dyDescent="0.25">
      <c r="A50" s="30">
        <v>50</v>
      </c>
      <c r="B50" s="30" t="s">
        <v>95</v>
      </c>
      <c r="C50" s="30">
        <v>6</v>
      </c>
      <c r="D50" s="38" t="s">
        <v>91</v>
      </c>
      <c r="E50" s="30">
        <v>5</v>
      </c>
      <c r="F50" s="32" t="s">
        <v>286</v>
      </c>
    </row>
    <row r="51" spans="1:6" x14ac:dyDescent="0.25">
      <c r="A51" s="30">
        <v>51</v>
      </c>
      <c r="B51" s="30" t="s">
        <v>62</v>
      </c>
      <c r="C51" s="30">
        <v>6</v>
      </c>
      <c r="D51" s="38" t="s">
        <v>88</v>
      </c>
      <c r="E51" s="30">
        <v>2</v>
      </c>
      <c r="F51" s="32" t="s">
        <v>287</v>
      </c>
    </row>
    <row r="52" spans="1:6" x14ac:dyDescent="0.25">
      <c r="A52" s="30">
        <v>52</v>
      </c>
      <c r="B52" s="30" t="s">
        <v>158</v>
      </c>
      <c r="C52" s="30">
        <v>6</v>
      </c>
      <c r="D52" s="38" t="s">
        <v>89</v>
      </c>
      <c r="E52" s="30">
        <v>2</v>
      </c>
      <c r="F52" s="32" t="s">
        <v>288</v>
      </c>
    </row>
    <row r="53" spans="1:6" x14ac:dyDescent="0.25">
      <c r="A53" s="30">
        <v>53</v>
      </c>
      <c r="B53" s="30" t="s">
        <v>96</v>
      </c>
      <c r="C53" s="30">
        <v>6</v>
      </c>
      <c r="D53" s="38" t="s">
        <v>90</v>
      </c>
      <c r="E53" s="30">
        <v>2</v>
      </c>
      <c r="F53" s="32" t="s">
        <v>289</v>
      </c>
    </row>
    <row r="54" spans="1:6" x14ac:dyDescent="0.25">
      <c r="A54" s="30">
        <v>54</v>
      </c>
      <c r="B54" s="30" t="s">
        <v>97</v>
      </c>
      <c r="C54" s="30">
        <v>6</v>
      </c>
      <c r="D54" s="38" t="s">
        <v>91</v>
      </c>
      <c r="E54" s="30">
        <v>5</v>
      </c>
      <c r="F54" s="32" t="s">
        <v>290</v>
      </c>
    </row>
    <row r="55" spans="1:6" x14ac:dyDescent="0.25">
      <c r="A55" s="30">
        <v>55</v>
      </c>
      <c r="B55" s="30" t="s">
        <v>98</v>
      </c>
      <c r="C55" s="30">
        <v>6</v>
      </c>
      <c r="D55" s="38" t="s">
        <v>92</v>
      </c>
      <c r="E55" s="30">
        <v>2</v>
      </c>
      <c r="F55" s="32" t="s">
        <v>291</v>
      </c>
    </row>
    <row r="56" spans="1:6" x14ac:dyDescent="0.25">
      <c r="A56" s="30">
        <v>56</v>
      </c>
      <c r="B56" s="30" t="s">
        <v>99</v>
      </c>
      <c r="C56" s="30">
        <v>6</v>
      </c>
      <c r="D56" s="38" t="s">
        <v>93</v>
      </c>
      <c r="E56" s="30">
        <v>2</v>
      </c>
      <c r="F56" s="32" t="s">
        <v>292</v>
      </c>
    </row>
    <row r="57" spans="1:6" x14ac:dyDescent="0.25">
      <c r="A57" s="30">
        <v>57</v>
      </c>
      <c r="B57" s="30" t="s">
        <v>61</v>
      </c>
      <c r="C57" s="30">
        <v>6</v>
      </c>
      <c r="D57" s="38" t="s">
        <v>100</v>
      </c>
      <c r="E57" s="30">
        <v>2</v>
      </c>
      <c r="F57" s="32" t="s">
        <v>293</v>
      </c>
    </row>
    <row r="58" spans="1:6" x14ac:dyDescent="0.25">
      <c r="A58" s="30">
        <v>58</v>
      </c>
      <c r="B58" s="30" t="s">
        <v>157</v>
      </c>
      <c r="C58" s="30">
        <v>6</v>
      </c>
      <c r="D58" s="38" t="s">
        <v>101</v>
      </c>
      <c r="E58" s="30">
        <v>2</v>
      </c>
      <c r="F58" s="32" t="s">
        <v>294</v>
      </c>
    </row>
    <row r="59" spans="1:6" x14ac:dyDescent="0.25">
      <c r="A59" s="30">
        <v>59</v>
      </c>
      <c r="B59" s="30" t="s">
        <v>106</v>
      </c>
      <c r="C59" s="30">
        <v>6</v>
      </c>
      <c r="D59" s="38" t="s">
        <v>102</v>
      </c>
      <c r="E59" s="30">
        <v>2</v>
      </c>
      <c r="F59" s="32" t="s">
        <v>295</v>
      </c>
    </row>
    <row r="60" spans="1:6" x14ac:dyDescent="0.25">
      <c r="A60" s="30">
        <v>60</v>
      </c>
      <c r="B60" s="30" t="s">
        <v>108</v>
      </c>
      <c r="C60" s="30">
        <v>6</v>
      </c>
      <c r="D60" s="38" t="s">
        <v>103</v>
      </c>
      <c r="E60" s="30">
        <v>5</v>
      </c>
      <c r="F60" s="32" t="s">
        <v>296</v>
      </c>
    </row>
    <row r="61" spans="1:6" x14ac:dyDescent="0.25">
      <c r="A61" s="30">
        <v>61</v>
      </c>
      <c r="B61" s="30" t="s">
        <v>62</v>
      </c>
      <c r="C61" s="30">
        <v>6</v>
      </c>
      <c r="D61" s="38" t="s">
        <v>100</v>
      </c>
      <c r="E61" s="30">
        <v>2</v>
      </c>
      <c r="F61" s="32" t="s">
        <v>297</v>
      </c>
    </row>
    <row r="62" spans="1:6" x14ac:dyDescent="0.25">
      <c r="A62" s="30">
        <v>62</v>
      </c>
      <c r="B62" s="30" t="s">
        <v>158</v>
      </c>
      <c r="C62" s="30">
        <v>6</v>
      </c>
      <c r="D62" s="38" t="s">
        <v>101</v>
      </c>
      <c r="E62" s="30">
        <v>2</v>
      </c>
      <c r="F62" s="32" t="s">
        <v>298</v>
      </c>
    </row>
    <row r="63" spans="1:6" x14ac:dyDescent="0.25">
      <c r="A63" s="30">
        <v>63</v>
      </c>
      <c r="B63" s="30" t="s">
        <v>107</v>
      </c>
      <c r="C63" s="30">
        <v>6</v>
      </c>
      <c r="D63" s="38" t="s">
        <v>102</v>
      </c>
      <c r="E63" s="30">
        <v>2</v>
      </c>
      <c r="F63" s="32" t="s">
        <v>299</v>
      </c>
    </row>
    <row r="64" spans="1:6" x14ac:dyDescent="0.25">
      <c r="A64" s="30">
        <v>64</v>
      </c>
      <c r="B64" s="30" t="s">
        <v>109</v>
      </c>
      <c r="C64" s="30">
        <v>6</v>
      </c>
      <c r="D64" s="38" t="s">
        <v>103</v>
      </c>
      <c r="E64" s="30">
        <v>5</v>
      </c>
      <c r="F64" s="32" t="s">
        <v>300</v>
      </c>
    </row>
    <row r="65" spans="1:6" x14ac:dyDescent="0.25">
      <c r="A65" s="30">
        <v>65</v>
      </c>
      <c r="B65" s="30" t="s">
        <v>110</v>
      </c>
      <c r="C65" s="30">
        <v>6</v>
      </c>
      <c r="D65" s="38" t="s">
        <v>104</v>
      </c>
      <c r="E65" s="30">
        <v>2</v>
      </c>
      <c r="F65" s="32" t="s">
        <v>301</v>
      </c>
    </row>
    <row r="66" spans="1:6" x14ac:dyDescent="0.25">
      <c r="A66" s="30">
        <v>66</v>
      </c>
      <c r="B66" s="30" t="s">
        <v>111</v>
      </c>
      <c r="C66" s="30">
        <v>6</v>
      </c>
      <c r="D66" s="38" t="s">
        <v>105</v>
      </c>
      <c r="E66" s="30">
        <v>2</v>
      </c>
      <c r="F66" s="32" t="s">
        <v>302</v>
      </c>
    </row>
    <row r="67" spans="1:6" x14ac:dyDescent="0.25">
      <c r="A67" s="30">
        <v>67</v>
      </c>
      <c r="B67" s="30" t="s">
        <v>61</v>
      </c>
      <c r="C67" s="30">
        <v>6</v>
      </c>
      <c r="D67" s="38" t="s">
        <v>112</v>
      </c>
      <c r="E67" s="30">
        <v>2</v>
      </c>
      <c r="F67" s="32" t="s">
        <v>303</v>
      </c>
    </row>
    <row r="68" spans="1:6" x14ac:dyDescent="0.25">
      <c r="A68" s="30">
        <v>68</v>
      </c>
      <c r="B68" s="30" t="s">
        <v>157</v>
      </c>
      <c r="C68" s="30">
        <v>6</v>
      </c>
      <c r="D68" s="38" t="s">
        <v>113</v>
      </c>
      <c r="E68" s="30">
        <v>2</v>
      </c>
      <c r="F68" s="32" t="s">
        <v>304</v>
      </c>
    </row>
    <row r="69" spans="1:6" x14ac:dyDescent="0.25">
      <c r="A69" s="30">
        <v>69</v>
      </c>
      <c r="B69" s="30" t="s">
        <v>118</v>
      </c>
      <c r="C69" s="30">
        <v>6</v>
      </c>
      <c r="D69" s="38" t="s">
        <v>114</v>
      </c>
      <c r="E69" s="30">
        <v>2</v>
      </c>
      <c r="F69" s="32" t="s">
        <v>305</v>
      </c>
    </row>
    <row r="70" spans="1:6" x14ac:dyDescent="0.25">
      <c r="A70" s="30">
        <v>70</v>
      </c>
      <c r="B70" s="30" t="s">
        <v>119</v>
      </c>
      <c r="C70" s="30">
        <v>6</v>
      </c>
      <c r="D70" s="38" t="s">
        <v>115</v>
      </c>
      <c r="E70" s="30">
        <v>5</v>
      </c>
      <c r="F70" s="32" t="s">
        <v>306</v>
      </c>
    </row>
    <row r="71" spans="1:6" x14ac:dyDescent="0.25">
      <c r="A71" s="30">
        <v>71</v>
      </c>
      <c r="B71" s="30" t="s">
        <v>62</v>
      </c>
      <c r="C71" s="30">
        <v>6</v>
      </c>
      <c r="D71" s="38" t="s">
        <v>112</v>
      </c>
      <c r="E71" s="30">
        <v>2</v>
      </c>
      <c r="F71" s="32" t="s">
        <v>307</v>
      </c>
    </row>
    <row r="72" spans="1:6" x14ac:dyDescent="0.25">
      <c r="A72" s="30">
        <v>72</v>
      </c>
      <c r="B72" s="30" t="s">
        <v>158</v>
      </c>
      <c r="C72" s="30">
        <v>6</v>
      </c>
      <c r="D72" s="38" t="s">
        <v>113</v>
      </c>
      <c r="E72" s="30">
        <v>2</v>
      </c>
      <c r="F72" s="32" t="s">
        <v>308</v>
      </c>
    </row>
    <row r="73" spans="1:6" x14ac:dyDescent="0.25">
      <c r="A73" s="30">
        <v>73</v>
      </c>
      <c r="B73" s="30" t="s">
        <v>120</v>
      </c>
      <c r="C73" s="30">
        <v>6</v>
      </c>
      <c r="D73" s="38" t="s">
        <v>114</v>
      </c>
      <c r="E73" s="30">
        <v>2</v>
      </c>
      <c r="F73" s="32" t="s">
        <v>309</v>
      </c>
    </row>
    <row r="74" spans="1:6" x14ac:dyDescent="0.25">
      <c r="A74" s="30">
        <v>74</v>
      </c>
      <c r="B74" s="30" t="s">
        <v>121</v>
      </c>
      <c r="C74" s="30">
        <v>6</v>
      </c>
      <c r="D74" s="38" t="s">
        <v>115</v>
      </c>
      <c r="E74" s="30">
        <v>5</v>
      </c>
      <c r="F74" s="32" t="s">
        <v>310</v>
      </c>
    </row>
    <row r="75" spans="1:6" x14ac:dyDescent="0.25">
      <c r="A75" s="30">
        <v>75</v>
      </c>
      <c r="B75" s="30" t="s">
        <v>122</v>
      </c>
      <c r="C75" s="30">
        <v>6</v>
      </c>
      <c r="D75" s="38" t="s">
        <v>116</v>
      </c>
      <c r="E75" s="30">
        <v>2</v>
      </c>
      <c r="F75" s="32" t="s">
        <v>311</v>
      </c>
    </row>
    <row r="76" spans="1:6" x14ac:dyDescent="0.25">
      <c r="A76" s="30">
        <v>76</v>
      </c>
      <c r="B76" s="30" t="s">
        <v>123</v>
      </c>
      <c r="C76" s="30">
        <v>6</v>
      </c>
      <c r="D76" s="38" t="s">
        <v>117</v>
      </c>
      <c r="E76" s="30">
        <v>2</v>
      </c>
      <c r="F76" s="32" t="s">
        <v>312</v>
      </c>
    </row>
    <row r="77" spans="1:6" x14ac:dyDescent="0.25">
      <c r="A77" s="30">
        <v>77</v>
      </c>
      <c r="B77" s="30" t="s">
        <v>61</v>
      </c>
      <c r="C77" s="30">
        <v>6</v>
      </c>
      <c r="D77" s="38" t="s">
        <v>130</v>
      </c>
      <c r="E77" s="30">
        <v>2</v>
      </c>
      <c r="F77" s="32" t="s">
        <v>313</v>
      </c>
    </row>
    <row r="78" spans="1:6" x14ac:dyDescent="0.25">
      <c r="A78" s="30">
        <v>78</v>
      </c>
      <c r="B78" s="30" t="s">
        <v>157</v>
      </c>
      <c r="C78" s="30">
        <v>6</v>
      </c>
      <c r="D78" s="38" t="s">
        <v>131</v>
      </c>
      <c r="E78" s="30">
        <v>2</v>
      </c>
      <c r="F78" s="32" t="s">
        <v>314</v>
      </c>
    </row>
    <row r="79" spans="1:6" x14ac:dyDescent="0.25">
      <c r="A79" s="30">
        <v>79</v>
      </c>
      <c r="B79" s="30" t="s">
        <v>124</v>
      </c>
      <c r="C79" s="30">
        <v>6</v>
      </c>
      <c r="D79" s="38" t="s">
        <v>132</v>
      </c>
      <c r="E79" s="30">
        <v>2</v>
      </c>
      <c r="F79" s="32" t="s">
        <v>315</v>
      </c>
    </row>
    <row r="80" spans="1:6" x14ac:dyDescent="0.25">
      <c r="A80" s="30">
        <v>80</v>
      </c>
      <c r="B80" s="30" t="s">
        <v>125</v>
      </c>
      <c r="C80" s="30">
        <v>6</v>
      </c>
      <c r="D80" s="38" t="s">
        <v>68</v>
      </c>
      <c r="E80" s="30">
        <v>5</v>
      </c>
      <c r="F80" s="32" t="s">
        <v>316</v>
      </c>
    </row>
    <row r="81" spans="1:6" x14ac:dyDescent="0.25">
      <c r="A81" s="30">
        <v>81</v>
      </c>
      <c r="B81" s="30" t="s">
        <v>62</v>
      </c>
      <c r="C81" s="30">
        <v>6</v>
      </c>
      <c r="D81" s="38" t="s">
        <v>130</v>
      </c>
      <c r="E81" s="30">
        <v>2</v>
      </c>
      <c r="F81" s="32" t="s">
        <v>317</v>
      </c>
    </row>
    <row r="82" spans="1:6" x14ac:dyDescent="0.25">
      <c r="A82" s="30">
        <v>82</v>
      </c>
      <c r="B82" s="30" t="s">
        <v>158</v>
      </c>
      <c r="C82" s="30">
        <v>6</v>
      </c>
      <c r="D82" s="38" t="s">
        <v>131</v>
      </c>
      <c r="E82" s="30">
        <v>2</v>
      </c>
      <c r="F82" s="32" t="s">
        <v>318</v>
      </c>
    </row>
    <row r="83" spans="1:6" x14ac:dyDescent="0.25">
      <c r="A83" s="30">
        <v>83</v>
      </c>
      <c r="B83" s="30" t="s">
        <v>126</v>
      </c>
      <c r="C83" s="30">
        <v>6</v>
      </c>
      <c r="D83" s="38" t="s">
        <v>132</v>
      </c>
      <c r="E83" s="30">
        <v>2</v>
      </c>
      <c r="F83" s="32" t="s">
        <v>319</v>
      </c>
    </row>
    <row r="84" spans="1:6" x14ac:dyDescent="0.25">
      <c r="A84" s="30">
        <v>84</v>
      </c>
      <c r="B84" s="30" t="s">
        <v>127</v>
      </c>
      <c r="C84" s="30">
        <v>6</v>
      </c>
      <c r="D84" s="38" t="s">
        <v>68</v>
      </c>
      <c r="E84" s="30">
        <v>5</v>
      </c>
      <c r="F84" s="32" t="s">
        <v>320</v>
      </c>
    </row>
    <row r="85" spans="1:6" x14ac:dyDescent="0.25">
      <c r="A85" s="30">
        <v>85</v>
      </c>
      <c r="B85" s="30" t="s">
        <v>128</v>
      </c>
      <c r="C85" s="30">
        <v>6</v>
      </c>
      <c r="D85" s="38" t="s">
        <v>133</v>
      </c>
      <c r="E85" s="30">
        <v>2</v>
      </c>
      <c r="F85" s="32" t="s">
        <v>321</v>
      </c>
    </row>
    <row r="86" spans="1:6" x14ac:dyDescent="0.25">
      <c r="A86" s="30">
        <v>86</v>
      </c>
      <c r="B86" s="30" t="s">
        <v>129</v>
      </c>
      <c r="C86" s="30">
        <v>6</v>
      </c>
      <c r="D86" s="38" t="s">
        <v>134</v>
      </c>
      <c r="E86" s="30">
        <v>2</v>
      </c>
      <c r="F86" s="32" t="s">
        <v>322</v>
      </c>
    </row>
    <row r="87" spans="1:6" x14ac:dyDescent="0.25">
      <c r="A87" s="30">
        <v>87</v>
      </c>
      <c r="B87" s="30" t="s">
        <v>61</v>
      </c>
      <c r="C87" s="30">
        <v>6</v>
      </c>
      <c r="D87" s="38" t="s">
        <v>135</v>
      </c>
      <c r="E87" s="30">
        <v>2</v>
      </c>
      <c r="F87" s="32" t="s">
        <v>323</v>
      </c>
    </row>
    <row r="88" spans="1:6" x14ac:dyDescent="0.25">
      <c r="A88" s="30">
        <v>88</v>
      </c>
      <c r="B88" s="30" t="s">
        <v>157</v>
      </c>
      <c r="C88" s="30">
        <v>6</v>
      </c>
      <c r="D88" s="38" t="s">
        <v>136</v>
      </c>
      <c r="E88" s="30">
        <v>2</v>
      </c>
      <c r="F88" s="32" t="s">
        <v>324</v>
      </c>
    </row>
    <row r="89" spans="1:6" x14ac:dyDescent="0.25">
      <c r="A89" s="30">
        <v>89</v>
      </c>
      <c r="B89" s="30" t="s">
        <v>140</v>
      </c>
      <c r="C89" s="30">
        <v>6</v>
      </c>
      <c r="D89" s="38" t="s">
        <v>137</v>
      </c>
      <c r="E89" s="30">
        <v>2</v>
      </c>
      <c r="F89" s="32" t="s">
        <v>325</v>
      </c>
    </row>
    <row r="90" spans="1:6" x14ac:dyDescent="0.25">
      <c r="A90" s="30">
        <v>90</v>
      </c>
      <c r="B90" s="30" t="s">
        <v>141</v>
      </c>
      <c r="C90" s="30">
        <v>6</v>
      </c>
      <c r="D90" s="38" t="s">
        <v>67</v>
      </c>
      <c r="E90" s="30">
        <v>5</v>
      </c>
      <c r="F90" s="32" t="s">
        <v>326</v>
      </c>
    </row>
    <row r="91" spans="1:6" x14ac:dyDescent="0.25">
      <c r="A91" s="30">
        <v>91</v>
      </c>
      <c r="B91" s="30" t="s">
        <v>62</v>
      </c>
      <c r="C91" s="30">
        <v>6</v>
      </c>
      <c r="D91" s="38" t="s">
        <v>135</v>
      </c>
      <c r="E91" s="30">
        <v>2</v>
      </c>
      <c r="F91" s="32" t="s">
        <v>327</v>
      </c>
    </row>
    <row r="92" spans="1:6" x14ac:dyDescent="0.25">
      <c r="A92" s="30">
        <v>92</v>
      </c>
      <c r="B92" s="30" t="s">
        <v>158</v>
      </c>
      <c r="C92" s="30">
        <v>6</v>
      </c>
      <c r="D92" s="38" t="s">
        <v>136</v>
      </c>
      <c r="E92" s="30">
        <v>2</v>
      </c>
      <c r="F92" s="32" t="s">
        <v>328</v>
      </c>
    </row>
    <row r="93" spans="1:6" x14ac:dyDescent="0.25">
      <c r="A93" s="30">
        <v>93</v>
      </c>
      <c r="B93" s="30" t="s">
        <v>142</v>
      </c>
      <c r="C93" s="30">
        <v>6</v>
      </c>
      <c r="D93" s="38" t="s">
        <v>137</v>
      </c>
      <c r="E93" s="30">
        <v>2</v>
      </c>
      <c r="F93" s="32" t="s">
        <v>329</v>
      </c>
    </row>
    <row r="94" spans="1:6" x14ac:dyDescent="0.25">
      <c r="A94" s="30">
        <v>94</v>
      </c>
      <c r="B94" s="30" t="s">
        <v>143</v>
      </c>
      <c r="C94" s="30">
        <v>6</v>
      </c>
      <c r="D94" s="38" t="s">
        <v>67</v>
      </c>
      <c r="E94" s="30">
        <v>5</v>
      </c>
      <c r="F94" s="32" t="s">
        <v>330</v>
      </c>
    </row>
    <row r="95" spans="1:6" x14ac:dyDescent="0.25">
      <c r="A95" s="30">
        <v>95</v>
      </c>
      <c r="B95" s="30" t="s">
        <v>144</v>
      </c>
      <c r="C95" s="30">
        <v>6</v>
      </c>
      <c r="D95" s="38" t="s">
        <v>138</v>
      </c>
      <c r="E95" s="30">
        <v>2</v>
      </c>
      <c r="F95" s="32" t="s">
        <v>331</v>
      </c>
    </row>
    <row r="96" spans="1:6" x14ac:dyDescent="0.25">
      <c r="A96" s="30">
        <v>96</v>
      </c>
      <c r="B96" s="30" t="s">
        <v>145</v>
      </c>
      <c r="C96" s="30">
        <v>6</v>
      </c>
      <c r="D96" s="38" t="s">
        <v>139</v>
      </c>
      <c r="E96" s="30">
        <v>2</v>
      </c>
      <c r="F96" s="32" t="s">
        <v>332</v>
      </c>
    </row>
    <row r="97" spans="1:6" x14ac:dyDescent="0.25">
      <c r="A97" s="30">
        <v>97</v>
      </c>
      <c r="B97" s="30" t="s">
        <v>146</v>
      </c>
      <c r="C97" s="30">
        <v>6</v>
      </c>
      <c r="D97" s="38">
        <v>5</v>
      </c>
      <c r="E97" s="30">
        <v>2</v>
      </c>
      <c r="F97" s="32" t="s">
        <v>333</v>
      </c>
    </row>
    <row r="98" spans="1:6" x14ac:dyDescent="0.25">
      <c r="A98" s="30">
        <v>98</v>
      </c>
      <c r="B98" s="30" t="s">
        <v>147</v>
      </c>
      <c r="C98" s="30">
        <v>6</v>
      </c>
      <c r="D98" s="38">
        <v>6</v>
      </c>
      <c r="E98" s="30">
        <v>2</v>
      </c>
      <c r="F98" s="32" t="s">
        <v>334</v>
      </c>
    </row>
    <row r="99" spans="1:6" x14ac:dyDescent="0.25">
      <c r="A99" s="30">
        <v>99</v>
      </c>
      <c r="B99" s="30" t="s">
        <v>148</v>
      </c>
      <c r="C99" s="30">
        <v>6</v>
      </c>
      <c r="D99" s="38">
        <v>7</v>
      </c>
      <c r="E99" s="30">
        <v>3</v>
      </c>
      <c r="F99" s="32" t="s">
        <v>335</v>
      </c>
    </row>
    <row r="100" spans="1:6" x14ac:dyDescent="0.25">
      <c r="A100" s="30">
        <v>100</v>
      </c>
      <c r="B100" s="30" t="s">
        <v>48</v>
      </c>
      <c r="C100" s="30">
        <v>6</v>
      </c>
      <c r="D100" s="38">
        <v>9</v>
      </c>
      <c r="E100" s="30">
        <v>8</v>
      </c>
      <c r="F100" s="32" t="s">
        <v>336</v>
      </c>
    </row>
    <row r="101" spans="1:6" x14ac:dyDescent="0.25">
      <c r="A101" s="30">
        <v>101</v>
      </c>
      <c r="B101" s="41" t="s">
        <v>177</v>
      </c>
      <c r="C101" s="30">
        <v>6</v>
      </c>
      <c r="D101" s="38">
        <v>10</v>
      </c>
      <c r="E101" s="30">
        <v>8</v>
      </c>
      <c r="F101" s="32" t="s">
        <v>337</v>
      </c>
    </row>
    <row r="102" spans="1:6" x14ac:dyDescent="0.25">
      <c r="A102" s="30">
        <v>102</v>
      </c>
      <c r="B102" s="30" t="s">
        <v>153</v>
      </c>
      <c r="C102" s="38" t="s">
        <v>30</v>
      </c>
      <c r="D102" s="30"/>
      <c r="E102" s="30">
        <v>3</v>
      </c>
      <c r="F102" s="32" t="s">
        <v>214</v>
      </c>
    </row>
    <row r="103" spans="1:6" x14ac:dyDescent="0.25">
      <c r="A103" s="30">
        <v>103</v>
      </c>
      <c r="B103" s="30" t="s">
        <v>152</v>
      </c>
      <c r="C103" s="38" t="s">
        <v>30</v>
      </c>
      <c r="D103" s="30"/>
      <c r="E103" s="30">
        <v>3</v>
      </c>
      <c r="F103" s="32" t="s">
        <v>215</v>
      </c>
    </row>
    <row r="104" spans="1:6" x14ac:dyDescent="0.25">
      <c r="A104" s="30">
        <v>104</v>
      </c>
      <c r="B104" s="30" t="s">
        <v>154</v>
      </c>
      <c r="C104" s="38" t="s">
        <v>30</v>
      </c>
      <c r="D104" s="30"/>
      <c r="E104" s="30">
        <v>10</v>
      </c>
      <c r="F104" s="32" t="s">
        <v>216</v>
      </c>
    </row>
    <row r="105" spans="1:6" x14ac:dyDescent="0.25">
      <c r="A105" s="30">
        <v>105</v>
      </c>
      <c r="B105" s="30" t="s">
        <v>339</v>
      </c>
      <c r="C105" s="38" t="s">
        <v>30</v>
      </c>
      <c r="D105" s="30"/>
      <c r="E105" s="30">
        <v>1</v>
      </c>
      <c r="F105" s="32" t="s">
        <v>217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186"/>
  <sheetViews>
    <sheetView showGridLines="0" workbookViewId="0">
      <selection activeCell="I140" sqref="I140:I145"/>
    </sheetView>
  </sheetViews>
  <sheetFormatPr defaultColWidth="9.140625" defaultRowHeight="15" x14ac:dyDescent="0.25"/>
  <cols>
    <col min="1" max="1" width="4" bestFit="1" customWidth="1"/>
    <col min="2" max="2" width="68.5703125" bestFit="1" customWidth="1"/>
    <col min="3" max="3" width="9.42578125" bestFit="1" customWidth="1"/>
    <col min="4" max="4" width="10.28515625" bestFit="1" customWidth="1"/>
    <col min="5" max="5" width="12" bestFit="1" customWidth="1"/>
    <col min="6" max="6" width="11.140625" bestFit="1" customWidth="1"/>
    <col min="11" max="11" width="12.42578125" bestFit="1" customWidth="1"/>
  </cols>
  <sheetData>
    <row r="1" spans="1:14" x14ac:dyDescent="0.25">
      <c r="A1" s="28" t="s">
        <v>0</v>
      </c>
      <c r="B1" s="28" t="s">
        <v>1</v>
      </c>
      <c r="C1" s="29" t="s">
        <v>2</v>
      </c>
      <c r="D1" s="29" t="s">
        <v>159</v>
      </c>
      <c r="E1" s="29" t="s">
        <v>3</v>
      </c>
      <c r="F1" s="28" t="s">
        <v>180</v>
      </c>
      <c r="J1" t="s">
        <v>534</v>
      </c>
      <c r="K1" t="s">
        <v>340</v>
      </c>
      <c r="L1" t="s">
        <v>341</v>
      </c>
      <c r="M1" t="s">
        <v>342</v>
      </c>
    </row>
    <row r="2" spans="1:14" x14ac:dyDescent="0.25">
      <c r="A2" s="30">
        <v>1</v>
      </c>
      <c r="B2" s="30" t="s">
        <v>150</v>
      </c>
      <c r="C2" s="34"/>
      <c r="D2" s="30"/>
      <c r="E2" s="30">
        <v>4</v>
      </c>
      <c r="F2" s="32" t="s">
        <v>181</v>
      </c>
      <c r="G2" t="e">
        <f>VLOOKUP(F2,$K$2:$M$186,1,FALSE)</f>
        <v>#N/A</v>
      </c>
      <c r="H2" t="e">
        <f t="shared" ref="H2:H26" si="0">VLOOKUP(F2,$K$2:$M$186,2,FALSE)</f>
        <v>#N/A</v>
      </c>
      <c r="I2" t="e">
        <f t="shared" ref="I2:I26" si="1">VLOOKUP(F2,$K$2:$M$186,3,FALSE)</f>
        <v>#N/A</v>
      </c>
      <c r="J2" t="e">
        <f>E2=I2</f>
        <v>#N/A</v>
      </c>
      <c r="K2" s="43" t="s">
        <v>343</v>
      </c>
      <c r="L2" s="43" t="s">
        <v>344</v>
      </c>
      <c r="M2" s="43">
        <v>10</v>
      </c>
      <c r="N2" s="43" t="e">
        <f>VLOOKUP(K2,$F$2:$F$151,1,FALSE)</f>
        <v>#N/A</v>
      </c>
    </row>
    <row r="3" spans="1:14" x14ac:dyDescent="0.25">
      <c r="A3" s="30">
        <v>2</v>
      </c>
      <c r="B3" s="30" t="s">
        <v>23</v>
      </c>
      <c r="C3" s="38">
        <v>1</v>
      </c>
      <c r="D3" s="38">
        <v>2</v>
      </c>
      <c r="E3" s="30">
        <v>3</v>
      </c>
      <c r="F3" s="32" t="s">
        <v>182</v>
      </c>
      <c r="G3" t="e">
        <f>VLOOKUP(F3,$K$2:$M$186,1,FALSE)</f>
        <v>#N/A</v>
      </c>
      <c r="H3" t="e">
        <f t="shared" si="0"/>
        <v>#N/A</v>
      </c>
      <c r="I3" t="e">
        <f t="shared" si="1"/>
        <v>#N/A</v>
      </c>
      <c r="J3" t="e">
        <f t="shared" ref="J3:J66" si="2">E3=I3</f>
        <v>#N/A</v>
      </c>
      <c r="K3" t="s">
        <v>345</v>
      </c>
      <c r="L3" t="s">
        <v>344</v>
      </c>
      <c r="M3">
        <v>2</v>
      </c>
      <c r="N3" t="str">
        <f>VLOOKUP(K3,$F$2:$F$151,1,FALSE)</f>
        <v>qtr</v>
      </c>
    </row>
    <row r="4" spans="1:14" x14ac:dyDescent="0.25">
      <c r="A4" s="30">
        <v>3</v>
      </c>
      <c r="B4" s="30" t="s">
        <v>5</v>
      </c>
      <c r="C4" s="38"/>
      <c r="D4" s="38"/>
      <c r="E4" s="30">
        <v>2</v>
      </c>
      <c r="F4" s="32" t="s">
        <v>183</v>
      </c>
      <c r="G4" t="str">
        <f>VLOOKUP(F4,$K$2:$M$186,1,FALSE)</f>
        <v>QTR</v>
      </c>
      <c r="H4" t="str">
        <f t="shared" si="0"/>
        <v>C</v>
      </c>
      <c r="I4">
        <f t="shared" si="1"/>
        <v>2</v>
      </c>
      <c r="J4" t="b">
        <f t="shared" si="2"/>
        <v>1</v>
      </c>
      <c r="K4" t="s">
        <v>356</v>
      </c>
      <c r="L4" t="s">
        <v>344</v>
      </c>
      <c r="M4">
        <v>2</v>
      </c>
      <c r="N4" t="str">
        <f>VLOOKUP(K4,$F$2:$F$151,1,FALSE)</f>
        <v>month</v>
      </c>
    </row>
    <row r="5" spans="1:14" x14ac:dyDescent="0.25">
      <c r="A5" s="30">
        <v>4</v>
      </c>
      <c r="B5" s="30" t="s">
        <v>524</v>
      </c>
      <c r="C5" s="38"/>
      <c r="D5" s="38"/>
      <c r="E5" s="30">
        <v>2</v>
      </c>
      <c r="F5" s="32" t="s">
        <v>525</v>
      </c>
      <c r="G5" t="str">
        <f t="shared" ref="G5:G6" si="3">VLOOKUP(F5,$K$2:$M$186,1,FALSE)</f>
        <v>MONTH</v>
      </c>
      <c r="H5" t="str">
        <f t="shared" si="0"/>
        <v>C</v>
      </c>
      <c r="I5">
        <f t="shared" si="1"/>
        <v>2</v>
      </c>
      <c r="J5" t="b">
        <f t="shared" si="2"/>
        <v>1</v>
      </c>
    </row>
    <row r="6" spans="1:14" x14ac:dyDescent="0.25">
      <c r="A6" s="30">
        <v>5</v>
      </c>
      <c r="B6" s="30" t="s">
        <v>6</v>
      </c>
      <c r="C6" s="38"/>
      <c r="D6" s="38"/>
      <c r="E6" s="30">
        <v>2</v>
      </c>
      <c r="F6" s="32" t="s">
        <v>184</v>
      </c>
      <c r="G6" t="str">
        <f t="shared" si="3"/>
        <v>VISIT</v>
      </c>
      <c r="H6" t="str">
        <f t="shared" si="0"/>
        <v>C</v>
      </c>
      <c r="I6">
        <f t="shared" si="1"/>
        <v>2</v>
      </c>
      <c r="J6" t="b">
        <f t="shared" si="2"/>
        <v>1</v>
      </c>
      <c r="K6" t="s">
        <v>347</v>
      </c>
      <c r="L6" t="s">
        <v>344</v>
      </c>
      <c r="M6">
        <v>2</v>
      </c>
      <c r="N6" t="str">
        <f t="shared" ref="N6:N25" si="4">VLOOKUP(K6,$F$2:$F$151,1,FALSE)</f>
        <v>st</v>
      </c>
    </row>
    <row r="7" spans="1:14" x14ac:dyDescent="0.25">
      <c r="A7" s="30">
        <v>6</v>
      </c>
      <c r="B7" s="30" t="s">
        <v>7</v>
      </c>
      <c r="C7" s="38">
        <v>1</v>
      </c>
      <c r="D7" s="38">
        <v>3</v>
      </c>
      <c r="E7" s="30">
        <v>1</v>
      </c>
      <c r="F7" s="32" t="s">
        <v>185</v>
      </c>
      <c r="G7" t="str">
        <f t="shared" ref="G7:G26" si="5">VLOOKUP(F7,$K$2:$M$186,1,FALSE)</f>
        <v>SEC</v>
      </c>
      <c r="H7" t="str">
        <f t="shared" si="0"/>
        <v>C</v>
      </c>
      <c r="I7">
        <f t="shared" si="1"/>
        <v>1</v>
      </c>
      <c r="J7" t="b">
        <f t="shared" si="2"/>
        <v>1</v>
      </c>
      <c r="K7" t="s">
        <v>349</v>
      </c>
      <c r="L7" t="s">
        <v>344</v>
      </c>
      <c r="M7">
        <v>4</v>
      </c>
      <c r="N7" t="str">
        <f t="shared" si="4"/>
        <v>sro</v>
      </c>
    </row>
    <row r="8" spans="1:14" x14ac:dyDescent="0.25">
      <c r="A8" s="30">
        <v>7</v>
      </c>
      <c r="B8" s="30" t="s">
        <v>11</v>
      </c>
      <c r="C8" s="30"/>
      <c r="D8" s="30"/>
      <c r="E8" s="30">
        <v>2</v>
      </c>
      <c r="F8" s="32" t="s">
        <v>186</v>
      </c>
      <c r="G8" t="str">
        <f t="shared" si="5"/>
        <v>ST</v>
      </c>
      <c r="H8" t="str">
        <f t="shared" si="0"/>
        <v>C</v>
      </c>
      <c r="I8">
        <f t="shared" si="1"/>
        <v>2</v>
      </c>
      <c r="J8" t="b">
        <f t="shared" si="2"/>
        <v>1</v>
      </c>
      <c r="K8" s="43" t="s">
        <v>151</v>
      </c>
      <c r="L8" s="43" t="s">
        <v>344</v>
      </c>
      <c r="M8" s="43">
        <v>5</v>
      </c>
      <c r="N8" s="43" t="e">
        <f t="shared" si="4"/>
        <v>#N/A</v>
      </c>
    </row>
    <row r="9" spans="1:14" x14ac:dyDescent="0.25">
      <c r="A9" s="30">
        <v>8</v>
      </c>
      <c r="B9" s="35" t="s">
        <v>160</v>
      </c>
      <c r="C9" s="36">
        <v>1</v>
      </c>
      <c r="D9" s="36">
        <v>4</v>
      </c>
      <c r="E9" s="30">
        <v>2</v>
      </c>
      <c r="F9" s="32" t="s">
        <v>187</v>
      </c>
      <c r="G9" t="str">
        <f t="shared" si="5"/>
        <v>DC</v>
      </c>
      <c r="H9" t="str">
        <f t="shared" si="0"/>
        <v>C</v>
      </c>
      <c r="I9">
        <f t="shared" si="1"/>
        <v>2</v>
      </c>
      <c r="J9" t="b">
        <f t="shared" si="2"/>
        <v>1</v>
      </c>
      <c r="K9" t="s">
        <v>346</v>
      </c>
      <c r="L9" t="s">
        <v>344</v>
      </c>
      <c r="M9">
        <v>1</v>
      </c>
      <c r="N9" t="str">
        <f t="shared" si="4"/>
        <v>sec</v>
      </c>
    </row>
    <row r="10" spans="1:14" x14ac:dyDescent="0.25">
      <c r="A10" s="30">
        <v>9</v>
      </c>
      <c r="B10" s="35" t="s">
        <v>31</v>
      </c>
      <c r="C10" s="39">
        <v>1</v>
      </c>
      <c r="D10" s="39">
        <v>4</v>
      </c>
      <c r="E10" s="30">
        <v>3</v>
      </c>
      <c r="F10" s="32" t="s">
        <v>188</v>
      </c>
      <c r="G10" t="str">
        <f t="shared" si="5"/>
        <v>NSS_REG</v>
      </c>
      <c r="H10" t="str">
        <f t="shared" si="0"/>
        <v>C</v>
      </c>
      <c r="I10">
        <f t="shared" si="1"/>
        <v>3</v>
      </c>
      <c r="J10" t="b">
        <f t="shared" si="2"/>
        <v>1</v>
      </c>
      <c r="K10" t="s">
        <v>350</v>
      </c>
      <c r="L10" t="s">
        <v>344</v>
      </c>
      <c r="M10">
        <v>3</v>
      </c>
      <c r="N10" t="str">
        <f t="shared" si="4"/>
        <v>nss_reg</v>
      </c>
    </row>
    <row r="11" spans="1:14" x14ac:dyDescent="0.25">
      <c r="A11" s="30">
        <v>10</v>
      </c>
      <c r="B11" s="30" t="s">
        <v>12</v>
      </c>
      <c r="C11" s="30">
        <v>1</v>
      </c>
      <c r="D11" s="30">
        <v>5</v>
      </c>
      <c r="E11" s="30">
        <v>2</v>
      </c>
      <c r="F11" s="32" t="s">
        <v>189</v>
      </c>
      <c r="G11" t="e">
        <f t="shared" si="5"/>
        <v>#N/A</v>
      </c>
      <c r="H11" t="e">
        <f t="shared" si="0"/>
        <v>#N/A</v>
      </c>
      <c r="I11" t="e">
        <f t="shared" si="1"/>
        <v>#N/A</v>
      </c>
      <c r="J11" t="e">
        <f t="shared" si="2"/>
        <v>#N/A</v>
      </c>
      <c r="K11" t="s">
        <v>354</v>
      </c>
      <c r="L11" t="s">
        <v>344</v>
      </c>
      <c r="M11">
        <v>2</v>
      </c>
      <c r="N11" t="str">
        <f t="shared" si="4"/>
        <v>visit</v>
      </c>
    </row>
    <row r="12" spans="1:14" x14ac:dyDescent="0.25">
      <c r="A12" s="30">
        <v>11</v>
      </c>
      <c r="B12" s="30" t="s">
        <v>13</v>
      </c>
      <c r="C12" s="30">
        <v>1</v>
      </c>
      <c r="D12" s="30">
        <v>6</v>
      </c>
      <c r="E12" s="30">
        <v>2</v>
      </c>
      <c r="F12" s="32" t="s">
        <v>190</v>
      </c>
      <c r="G12" t="e">
        <f t="shared" si="5"/>
        <v>#N/A</v>
      </c>
      <c r="H12" t="e">
        <f t="shared" si="0"/>
        <v>#N/A</v>
      </c>
      <c r="I12" t="e">
        <f t="shared" si="1"/>
        <v>#N/A</v>
      </c>
      <c r="J12" t="e">
        <f t="shared" si="2"/>
        <v>#N/A</v>
      </c>
      <c r="K12" s="43" t="s">
        <v>358</v>
      </c>
      <c r="L12" s="43" t="s">
        <v>344</v>
      </c>
      <c r="M12" s="43">
        <v>1</v>
      </c>
      <c r="N12" s="43" t="e">
        <f t="shared" si="4"/>
        <v>#N/A</v>
      </c>
    </row>
    <row r="13" spans="1:14" x14ac:dyDescent="0.25">
      <c r="A13" s="30">
        <v>12</v>
      </c>
      <c r="B13" s="30" t="s">
        <v>14</v>
      </c>
      <c r="C13" s="30">
        <v>1</v>
      </c>
      <c r="D13" s="30">
        <v>11</v>
      </c>
      <c r="E13" s="30">
        <v>1</v>
      </c>
      <c r="F13" s="32" t="s">
        <v>191</v>
      </c>
      <c r="G13" t="e">
        <f t="shared" si="5"/>
        <v>#N/A</v>
      </c>
      <c r="H13" t="e">
        <f t="shared" si="0"/>
        <v>#N/A</v>
      </c>
      <c r="I13" t="e">
        <f t="shared" si="1"/>
        <v>#N/A</v>
      </c>
      <c r="J13" t="e">
        <f t="shared" si="2"/>
        <v>#N/A</v>
      </c>
      <c r="K13" t="s">
        <v>352</v>
      </c>
      <c r="L13" t="s">
        <v>344</v>
      </c>
      <c r="M13">
        <v>1</v>
      </c>
      <c r="N13" t="str">
        <f t="shared" si="4"/>
        <v>sss</v>
      </c>
    </row>
    <row r="14" spans="1:14" x14ac:dyDescent="0.25">
      <c r="A14" s="30">
        <v>13</v>
      </c>
      <c r="B14" s="30" t="s">
        <v>15</v>
      </c>
      <c r="C14" s="30">
        <v>1</v>
      </c>
      <c r="D14" s="30">
        <v>12</v>
      </c>
      <c r="E14" s="30">
        <v>4</v>
      </c>
      <c r="F14" s="32" t="s">
        <v>192</v>
      </c>
      <c r="G14" t="str">
        <f t="shared" si="5"/>
        <v>SRO</v>
      </c>
      <c r="H14" t="str">
        <f t="shared" si="0"/>
        <v>C</v>
      </c>
      <c r="I14">
        <f t="shared" si="1"/>
        <v>4</v>
      </c>
      <c r="J14" t="b">
        <f t="shared" si="2"/>
        <v>1</v>
      </c>
      <c r="K14" t="s">
        <v>353</v>
      </c>
      <c r="L14" t="s">
        <v>344</v>
      </c>
      <c r="M14">
        <v>2</v>
      </c>
      <c r="N14" t="str">
        <f t="shared" si="4"/>
        <v>ssu</v>
      </c>
    </row>
    <row r="15" spans="1:14" x14ac:dyDescent="0.25">
      <c r="A15" s="30">
        <v>14</v>
      </c>
      <c r="B15" s="30" t="s">
        <v>151</v>
      </c>
      <c r="C15" s="30">
        <v>1</v>
      </c>
      <c r="D15" s="30">
        <v>1</v>
      </c>
      <c r="E15" s="30">
        <v>5</v>
      </c>
      <c r="F15" s="32" t="s">
        <v>193</v>
      </c>
      <c r="G15" t="e">
        <f t="shared" si="5"/>
        <v>#N/A</v>
      </c>
      <c r="H15" t="e">
        <f t="shared" si="0"/>
        <v>#N/A</v>
      </c>
      <c r="I15" t="e">
        <f t="shared" si="1"/>
        <v>#N/A</v>
      </c>
      <c r="J15" t="e">
        <f t="shared" si="2"/>
        <v>#N/A</v>
      </c>
      <c r="K15" s="43" t="s">
        <v>357</v>
      </c>
      <c r="L15" s="43" t="s">
        <v>344</v>
      </c>
      <c r="M15" s="43">
        <v>2</v>
      </c>
      <c r="N15" s="43" t="e">
        <f t="shared" si="4"/>
        <v>#N/A</v>
      </c>
    </row>
    <row r="16" spans="1:14" x14ac:dyDescent="0.25">
      <c r="A16" s="30">
        <v>15</v>
      </c>
      <c r="B16" s="30" t="s">
        <v>8</v>
      </c>
      <c r="C16" s="30">
        <v>1</v>
      </c>
      <c r="D16" s="30">
        <v>13</v>
      </c>
      <c r="E16" s="30">
        <v>1</v>
      </c>
      <c r="F16" s="32" t="s">
        <v>194</v>
      </c>
      <c r="G16" t="e">
        <f t="shared" si="5"/>
        <v>#N/A</v>
      </c>
      <c r="H16" t="e">
        <f t="shared" si="0"/>
        <v>#N/A</v>
      </c>
      <c r="I16" t="e">
        <f t="shared" si="1"/>
        <v>#N/A</v>
      </c>
      <c r="J16" t="e">
        <f t="shared" si="2"/>
        <v>#N/A</v>
      </c>
      <c r="K16" s="43" t="s">
        <v>355</v>
      </c>
      <c r="L16" s="43" t="s">
        <v>344</v>
      </c>
      <c r="M16" s="43">
        <v>1</v>
      </c>
      <c r="N16" s="43" t="e">
        <f t="shared" si="4"/>
        <v>#N/A</v>
      </c>
    </row>
    <row r="17" spans="1:16" x14ac:dyDescent="0.25">
      <c r="A17" s="30">
        <v>16</v>
      </c>
      <c r="B17" s="30" t="s">
        <v>9</v>
      </c>
      <c r="C17" s="30">
        <v>1</v>
      </c>
      <c r="D17" s="30">
        <v>14</v>
      </c>
      <c r="E17" s="30">
        <v>1</v>
      </c>
      <c r="F17" s="32" t="s">
        <v>195</v>
      </c>
      <c r="G17" t="str">
        <f t="shared" si="5"/>
        <v>SSS</v>
      </c>
      <c r="H17" t="str">
        <f t="shared" si="0"/>
        <v>C</v>
      </c>
      <c r="I17">
        <f t="shared" si="1"/>
        <v>1</v>
      </c>
      <c r="J17" t="b">
        <f t="shared" si="2"/>
        <v>1</v>
      </c>
      <c r="K17" t="s">
        <v>364</v>
      </c>
      <c r="L17" t="s">
        <v>344</v>
      </c>
      <c r="M17">
        <v>2</v>
      </c>
      <c r="N17" t="str">
        <f t="shared" si="4"/>
        <v>srl</v>
      </c>
    </row>
    <row r="18" spans="1:16" x14ac:dyDescent="0.25">
      <c r="A18" s="30">
        <v>17</v>
      </c>
      <c r="B18" s="30" t="s">
        <v>10</v>
      </c>
      <c r="C18" s="30">
        <v>1</v>
      </c>
      <c r="D18" s="30">
        <v>15</v>
      </c>
      <c r="E18" s="30">
        <v>2</v>
      </c>
      <c r="F18" s="32" t="s">
        <v>196</v>
      </c>
      <c r="G18" t="str">
        <f t="shared" si="5"/>
        <v>SSU</v>
      </c>
      <c r="H18" t="str">
        <f t="shared" si="0"/>
        <v>C</v>
      </c>
      <c r="I18">
        <f t="shared" si="1"/>
        <v>2</v>
      </c>
      <c r="J18" t="b">
        <f t="shared" si="2"/>
        <v>1</v>
      </c>
      <c r="K18" s="43" t="s">
        <v>365</v>
      </c>
      <c r="L18" s="43" t="s">
        <v>344</v>
      </c>
      <c r="M18" s="43">
        <v>40</v>
      </c>
      <c r="N18" s="43" t="e">
        <f t="shared" si="4"/>
        <v>#N/A</v>
      </c>
    </row>
    <row r="19" spans="1:16" x14ac:dyDescent="0.25">
      <c r="A19" s="30">
        <v>18</v>
      </c>
      <c r="B19" s="30" t="s">
        <v>32</v>
      </c>
      <c r="C19" s="30">
        <v>4</v>
      </c>
      <c r="D19" s="30">
        <v>1</v>
      </c>
      <c r="E19" s="30">
        <v>2</v>
      </c>
      <c r="F19" s="32" t="s">
        <v>218</v>
      </c>
      <c r="G19" t="str">
        <f t="shared" si="5"/>
        <v>SRL</v>
      </c>
      <c r="H19" t="str">
        <f t="shared" si="0"/>
        <v>C</v>
      </c>
      <c r="I19">
        <f t="shared" si="1"/>
        <v>2</v>
      </c>
      <c r="J19" t="b">
        <f t="shared" si="2"/>
        <v>1</v>
      </c>
      <c r="K19" t="s">
        <v>366</v>
      </c>
      <c r="L19" t="s">
        <v>344</v>
      </c>
      <c r="M19">
        <v>1</v>
      </c>
      <c r="N19" t="str">
        <f t="shared" si="4"/>
        <v>rel</v>
      </c>
    </row>
    <row r="20" spans="1:16" x14ac:dyDescent="0.25">
      <c r="A20" s="30">
        <v>19</v>
      </c>
      <c r="B20" s="30" t="s">
        <v>33</v>
      </c>
      <c r="C20" s="30">
        <v>4</v>
      </c>
      <c r="D20" s="30">
        <v>4</v>
      </c>
      <c r="E20" s="30">
        <v>1</v>
      </c>
      <c r="F20" s="32" t="s">
        <v>219</v>
      </c>
      <c r="G20" t="str">
        <f t="shared" si="5"/>
        <v>REL</v>
      </c>
      <c r="H20" t="str">
        <f t="shared" si="0"/>
        <v>C</v>
      </c>
      <c r="I20">
        <f t="shared" si="1"/>
        <v>1</v>
      </c>
      <c r="J20" t="b">
        <f t="shared" si="2"/>
        <v>1</v>
      </c>
      <c r="K20" t="s">
        <v>367</v>
      </c>
      <c r="L20" t="s">
        <v>344</v>
      </c>
      <c r="M20">
        <v>1</v>
      </c>
      <c r="N20" t="str">
        <f t="shared" si="4"/>
        <v>sex</v>
      </c>
    </row>
    <row r="21" spans="1:16" x14ac:dyDescent="0.25">
      <c r="A21" s="30">
        <v>20</v>
      </c>
      <c r="B21" s="30" t="s">
        <v>220</v>
      </c>
      <c r="C21" s="30">
        <v>4</v>
      </c>
      <c r="D21" s="30">
        <v>5</v>
      </c>
      <c r="E21" s="30">
        <v>1</v>
      </c>
      <c r="F21" s="32" t="s">
        <v>221</v>
      </c>
      <c r="G21" t="str">
        <f t="shared" si="5"/>
        <v>SEX</v>
      </c>
      <c r="H21" t="str">
        <f t="shared" si="0"/>
        <v>C</v>
      </c>
      <c r="I21">
        <f t="shared" si="1"/>
        <v>1</v>
      </c>
      <c r="J21" t="b">
        <f t="shared" si="2"/>
        <v>1</v>
      </c>
      <c r="K21" t="s">
        <v>368</v>
      </c>
      <c r="L21" t="s">
        <v>344</v>
      </c>
      <c r="M21">
        <v>3</v>
      </c>
      <c r="N21" t="str">
        <f t="shared" si="4"/>
        <v>age</v>
      </c>
    </row>
    <row r="22" spans="1:16" x14ac:dyDescent="0.25">
      <c r="A22" s="30">
        <v>21</v>
      </c>
      <c r="B22" s="30" t="s">
        <v>34</v>
      </c>
      <c r="C22" s="30">
        <v>4</v>
      </c>
      <c r="D22" s="30">
        <v>6</v>
      </c>
      <c r="E22" s="30">
        <v>3</v>
      </c>
      <c r="F22" s="32" t="s">
        <v>222</v>
      </c>
      <c r="G22" t="str">
        <f t="shared" si="5"/>
        <v>AGE</v>
      </c>
      <c r="H22" t="str">
        <f t="shared" si="0"/>
        <v>C</v>
      </c>
      <c r="I22">
        <f t="shared" si="1"/>
        <v>3</v>
      </c>
      <c r="J22" t="b">
        <f t="shared" si="2"/>
        <v>1</v>
      </c>
      <c r="K22" t="s">
        <v>369</v>
      </c>
      <c r="L22" t="s">
        <v>344</v>
      </c>
      <c r="M22">
        <v>1</v>
      </c>
      <c r="N22" t="str">
        <f t="shared" si="4"/>
        <v>marst</v>
      </c>
    </row>
    <row r="23" spans="1:16" x14ac:dyDescent="0.25">
      <c r="A23" s="30">
        <v>22</v>
      </c>
      <c r="B23" s="30" t="s">
        <v>35</v>
      </c>
      <c r="C23" s="30">
        <v>4</v>
      </c>
      <c r="D23" s="30">
        <v>7</v>
      </c>
      <c r="E23" s="30">
        <v>1</v>
      </c>
      <c r="F23" s="32" t="s">
        <v>223</v>
      </c>
      <c r="G23" t="str">
        <f t="shared" si="5"/>
        <v>MARST</v>
      </c>
      <c r="H23" t="str">
        <f t="shared" si="0"/>
        <v>C</v>
      </c>
      <c r="I23">
        <f t="shared" si="1"/>
        <v>1</v>
      </c>
      <c r="J23" t="b">
        <f t="shared" si="2"/>
        <v>1</v>
      </c>
      <c r="K23" t="s">
        <v>370</v>
      </c>
      <c r="L23" t="s">
        <v>344</v>
      </c>
      <c r="M23">
        <v>2</v>
      </c>
      <c r="N23" t="str">
        <f t="shared" si="4"/>
        <v>gedu_lvl</v>
      </c>
    </row>
    <row r="24" spans="1:16" x14ac:dyDescent="0.25">
      <c r="A24" s="30">
        <v>23</v>
      </c>
      <c r="B24" s="30" t="s">
        <v>36</v>
      </c>
      <c r="C24" s="30">
        <v>4</v>
      </c>
      <c r="D24" s="30">
        <v>8</v>
      </c>
      <c r="E24" s="30">
        <v>2</v>
      </c>
      <c r="F24" s="32" t="s">
        <v>224</v>
      </c>
      <c r="G24" t="str">
        <f t="shared" si="5"/>
        <v>GEDU_LVL</v>
      </c>
      <c r="H24" t="str">
        <f t="shared" si="0"/>
        <v>C</v>
      </c>
      <c r="I24">
        <f t="shared" si="1"/>
        <v>2</v>
      </c>
      <c r="J24" t="b">
        <f t="shared" si="2"/>
        <v>1</v>
      </c>
      <c r="K24" t="s">
        <v>371</v>
      </c>
      <c r="L24" t="s">
        <v>344</v>
      </c>
      <c r="M24">
        <v>2</v>
      </c>
      <c r="N24" t="str">
        <f t="shared" si="4"/>
        <v>tedu_lvl</v>
      </c>
    </row>
    <row r="25" spans="1:16" x14ac:dyDescent="0.25">
      <c r="A25" s="30">
        <v>24</v>
      </c>
      <c r="B25" s="30" t="s">
        <v>37</v>
      </c>
      <c r="C25" s="30">
        <v>4</v>
      </c>
      <c r="D25" s="30">
        <v>9</v>
      </c>
      <c r="E25" s="30">
        <v>2</v>
      </c>
      <c r="F25" s="32" t="s">
        <v>225</v>
      </c>
      <c r="G25" t="str">
        <f t="shared" si="5"/>
        <v>TEDU_LVL</v>
      </c>
      <c r="H25" t="str">
        <f t="shared" si="0"/>
        <v>C</v>
      </c>
      <c r="I25">
        <f t="shared" si="1"/>
        <v>2</v>
      </c>
      <c r="J25" t="b">
        <f t="shared" si="2"/>
        <v>1</v>
      </c>
      <c r="K25" s="44" t="s">
        <v>372</v>
      </c>
      <c r="L25" s="44" t="s">
        <v>344</v>
      </c>
      <c r="M25" s="44">
        <v>2</v>
      </c>
      <c r="N25" s="44" t="str">
        <f t="shared" si="4"/>
        <v>grade</v>
      </c>
    </row>
    <row r="26" spans="1:16" x14ac:dyDescent="0.25">
      <c r="A26" s="30"/>
      <c r="B26" s="30" t="s">
        <v>546</v>
      </c>
      <c r="C26" s="30"/>
      <c r="D26" s="30"/>
      <c r="E26" s="30">
        <v>2</v>
      </c>
      <c r="F26" s="44" t="s">
        <v>539</v>
      </c>
      <c r="G26" t="str">
        <f t="shared" si="5"/>
        <v>GRADE</v>
      </c>
      <c r="H26" t="str">
        <f t="shared" si="0"/>
        <v>C</v>
      </c>
      <c r="I26">
        <f t="shared" si="1"/>
        <v>2</v>
      </c>
      <c r="J26" t="b">
        <f t="shared" si="2"/>
        <v>1</v>
      </c>
      <c r="K26" s="44"/>
      <c r="L26" s="44"/>
      <c r="M26" s="44"/>
      <c r="N26" s="44"/>
    </row>
    <row r="27" spans="1:16" x14ac:dyDescent="0.25">
      <c r="A27" s="30"/>
      <c r="B27" s="30" t="s">
        <v>547</v>
      </c>
      <c r="C27" s="30"/>
      <c r="D27" s="30"/>
      <c r="E27" s="30">
        <v>1</v>
      </c>
      <c r="F27" s="44" t="s">
        <v>535</v>
      </c>
      <c r="G27" t="str">
        <f t="shared" ref="G27:G36" si="6">VLOOKUP(F27,$K$2:$M$186,1,FALSE)</f>
        <v>YRSBEF1</v>
      </c>
      <c r="H27" t="str">
        <f t="shared" ref="H27:H37" si="7">VLOOKUP(F27,$K$2:$M$186,2,FALSE)</f>
        <v>C</v>
      </c>
      <c r="I27">
        <f t="shared" ref="I27:I38" si="8">VLOOKUP(F27,$K$2:$M$186,3,FALSE)</f>
        <v>1</v>
      </c>
      <c r="J27" t="b">
        <f t="shared" si="2"/>
        <v>1</v>
      </c>
      <c r="K27" s="44"/>
      <c r="L27" s="44"/>
      <c r="M27" s="44"/>
      <c r="N27" s="44"/>
      <c r="P27" t="str">
        <f>LOWER(F27)</f>
        <v>yrsbef1</v>
      </c>
    </row>
    <row r="28" spans="1:16" x14ac:dyDescent="0.25">
      <c r="A28" s="30"/>
      <c r="B28" s="30" t="s">
        <v>548</v>
      </c>
      <c r="C28" s="30"/>
      <c r="D28" s="30"/>
      <c r="E28" s="30">
        <v>2</v>
      </c>
      <c r="F28" s="44" t="s">
        <v>536</v>
      </c>
      <c r="G28" t="str">
        <f t="shared" si="6"/>
        <v>YRSAFT</v>
      </c>
      <c r="H28" t="str">
        <f t="shared" si="7"/>
        <v>C</v>
      </c>
      <c r="I28">
        <f t="shared" si="8"/>
        <v>2</v>
      </c>
      <c r="J28" t="b">
        <f t="shared" si="2"/>
        <v>1</v>
      </c>
      <c r="K28" s="44"/>
      <c r="L28" s="44"/>
      <c r="M28" s="44"/>
      <c r="N28" s="44"/>
      <c r="P28" t="str">
        <f t="shared" ref="P28:P30" si="9">LOWER(F28)</f>
        <v>yrsaft</v>
      </c>
    </row>
    <row r="29" spans="1:16" x14ac:dyDescent="0.25">
      <c r="A29" s="30"/>
      <c r="B29" s="30" t="s">
        <v>549</v>
      </c>
      <c r="C29" s="30"/>
      <c r="D29" s="30"/>
      <c r="E29" s="30">
        <v>1</v>
      </c>
      <c r="F29" s="44" t="s">
        <v>537</v>
      </c>
      <c r="G29" t="str">
        <f t="shared" si="6"/>
        <v>IFLASTYR</v>
      </c>
      <c r="H29" t="str">
        <f t="shared" si="7"/>
        <v>C</v>
      </c>
      <c r="I29">
        <f t="shared" si="8"/>
        <v>1</v>
      </c>
      <c r="J29" t="b">
        <f t="shared" si="2"/>
        <v>1</v>
      </c>
      <c r="K29" s="44"/>
      <c r="L29" s="44"/>
      <c r="M29" s="44"/>
      <c r="N29" s="44"/>
      <c r="P29" t="str">
        <f t="shared" si="9"/>
        <v>iflastyr</v>
      </c>
    </row>
    <row r="30" spans="1:16" x14ac:dyDescent="0.25">
      <c r="A30" s="30">
        <v>25</v>
      </c>
      <c r="B30" s="30" t="s">
        <v>550</v>
      </c>
      <c r="C30" s="30">
        <v>4</v>
      </c>
      <c r="D30" s="30">
        <v>10</v>
      </c>
      <c r="E30" s="30">
        <v>2</v>
      </c>
      <c r="F30" s="44" t="s">
        <v>538</v>
      </c>
      <c r="G30" t="str">
        <f t="shared" si="6"/>
        <v>MNTHS</v>
      </c>
      <c r="H30" t="str">
        <f t="shared" si="7"/>
        <v>C</v>
      </c>
      <c r="I30">
        <f t="shared" si="8"/>
        <v>2</v>
      </c>
      <c r="J30" t="b">
        <f t="shared" si="2"/>
        <v>1</v>
      </c>
      <c r="K30" s="44" t="s">
        <v>373</v>
      </c>
      <c r="L30" s="44" t="s">
        <v>344</v>
      </c>
      <c r="M30" s="44">
        <v>1</v>
      </c>
      <c r="N30" s="44" t="str">
        <f>VLOOKUP(K30,$F$2:$F$151,1,FALSE)</f>
        <v>yrsbef1</v>
      </c>
      <c r="P30" t="str">
        <f t="shared" si="9"/>
        <v>mnths</v>
      </c>
    </row>
    <row r="31" spans="1:16" x14ac:dyDescent="0.25">
      <c r="A31" s="30">
        <v>26</v>
      </c>
      <c r="B31" s="30" t="s">
        <v>39</v>
      </c>
      <c r="C31" s="30">
        <v>4</v>
      </c>
      <c r="D31" s="30">
        <v>11</v>
      </c>
      <c r="E31" s="30">
        <v>2</v>
      </c>
      <c r="F31" t="s">
        <v>227</v>
      </c>
      <c r="G31" t="str">
        <f t="shared" si="6"/>
        <v>CURR_ATT</v>
      </c>
      <c r="H31" t="str">
        <f t="shared" si="7"/>
        <v>C</v>
      </c>
      <c r="I31">
        <f t="shared" si="8"/>
        <v>2</v>
      </c>
      <c r="J31" t="b">
        <f t="shared" si="2"/>
        <v>1</v>
      </c>
      <c r="K31" s="44" t="s">
        <v>374</v>
      </c>
      <c r="L31" s="44" t="s">
        <v>344</v>
      </c>
      <c r="M31" s="44">
        <v>2</v>
      </c>
      <c r="N31" s="44" t="str">
        <f>VLOOKUP(K31,$F$2:$F$151,1,FALSE)</f>
        <v>yrsaft</v>
      </c>
      <c r="P31" t="str">
        <f>LOWER(F31)</f>
        <v>curr_att</v>
      </c>
    </row>
    <row r="32" spans="1:16" x14ac:dyDescent="0.25">
      <c r="A32" s="30"/>
      <c r="B32" s="30" t="s">
        <v>551</v>
      </c>
      <c r="C32" s="30"/>
      <c r="D32" s="30"/>
      <c r="E32" s="30">
        <v>2</v>
      </c>
      <c r="F32" s="44" t="s">
        <v>540</v>
      </c>
      <c r="G32" t="str">
        <f t="shared" si="6"/>
        <v>SECONDARY</v>
      </c>
      <c r="H32" t="str">
        <f t="shared" si="7"/>
        <v>C</v>
      </c>
      <c r="I32">
        <f t="shared" si="8"/>
        <v>2</v>
      </c>
      <c r="J32" t="b">
        <f t="shared" si="2"/>
        <v>1</v>
      </c>
      <c r="K32" s="44"/>
      <c r="L32" s="44"/>
      <c r="M32" s="44"/>
      <c r="N32" s="44"/>
      <c r="P32" t="str">
        <f>LOWER(F32)</f>
        <v>secondary</v>
      </c>
    </row>
    <row r="33" spans="1:16" x14ac:dyDescent="0.25">
      <c r="A33" s="30">
        <v>27</v>
      </c>
      <c r="B33" s="30" t="s">
        <v>40</v>
      </c>
      <c r="C33" s="30">
        <v>4</v>
      </c>
      <c r="D33" s="30">
        <v>12</v>
      </c>
      <c r="E33" s="30">
        <v>1</v>
      </c>
      <c r="F33" s="32" t="s">
        <v>228</v>
      </c>
      <c r="G33" t="str">
        <f t="shared" si="6"/>
        <v>VOC</v>
      </c>
      <c r="H33" t="str">
        <f t="shared" si="7"/>
        <v>C</v>
      </c>
      <c r="I33">
        <f t="shared" si="8"/>
        <v>1</v>
      </c>
      <c r="J33" t="b">
        <f t="shared" si="2"/>
        <v>1</v>
      </c>
      <c r="K33" s="44" t="s">
        <v>375</v>
      </c>
      <c r="L33" s="44" t="s">
        <v>344</v>
      </c>
      <c r="M33" s="44">
        <v>1</v>
      </c>
      <c r="N33" s="44" t="str">
        <f>VLOOKUP(K33,$F$2:$F$151,1,FALSE)</f>
        <v>iflastyr</v>
      </c>
      <c r="P33" t="str">
        <f t="shared" ref="P33:P35" si="10">LOWER(F33)</f>
        <v>voc</v>
      </c>
    </row>
    <row r="34" spans="1:16" x14ac:dyDescent="0.25">
      <c r="A34" s="30"/>
      <c r="B34" s="30" t="s">
        <v>552</v>
      </c>
      <c r="C34" s="30"/>
      <c r="D34" s="30"/>
      <c r="E34" s="30">
        <v>1</v>
      </c>
      <c r="F34" s="44" t="s">
        <v>541</v>
      </c>
      <c r="G34" t="str">
        <f t="shared" si="6"/>
        <v>TRG</v>
      </c>
      <c r="H34" t="str">
        <f t="shared" si="7"/>
        <v>C</v>
      </c>
      <c r="I34">
        <f t="shared" si="8"/>
        <v>1</v>
      </c>
      <c r="J34" t="b">
        <f t="shared" si="2"/>
        <v>1</v>
      </c>
      <c r="K34" s="44"/>
      <c r="L34" s="44"/>
      <c r="M34" s="44"/>
      <c r="N34" s="44"/>
      <c r="P34" t="str">
        <f t="shared" si="10"/>
        <v>trg</v>
      </c>
    </row>
    <row r="35" spans="1:16" x14ac:dyDescent="0.25">
      <c r="A35" s="30"/>
      <c r="B35" s="30" t="s">
        <v>553</v>
      </c>
      <c r="C35" s="30"/>
      <c r="D35" s="30"/>
      <c r="E35" s="30">
        <v>1</v>
      </c>
      <c r="F35" s="44" t="s">
        <v>542</v>
      </c>
      <c r="G35" t="str">
        <f t="shared" si="6"/>
        <v>TRG_COM</v>
      </c>
      <c r="H35" t="str">
        <f t="shared" si="7"/>
        <v>C</v>
      </c>
      <c r="I35">
        <f t="shared" si="8"/>
        <v>1</v>
      </c>
      <c r="J35" t="b">
        <f t="shared" si="2"/>
        <v>1</v>
      </c>
      <c r="K35" s="44"/>
      <c r="L35" s="44"/>
      <c r="M35" s="44"/>
      <c r="N35" s="44"/>
      <c r="P35" t="str">
        <f t="shared" si="10"/>
        <v>trg_com</v>
      </c>
    </row>
    <row r="36" spans="1:16" x14ac:dyDescent="0.25">
      <c r="A36" s="30">
        <v>28</v>
      </c>
      <c r="B36" s="30" t="s">
        <v>41</v>
      </c>
      <c r="C36" s="30">
        <v>4.0999999999999996</v>
      </c>
      <c r="D36" s="30">
        <v>3</v>
      </c>
      <c r="E36" s="30">
        <v>1</v>
      </c>
      <c r="F36" s="32" t="s">
        <v>229</v>
      </c>
      <c r="G36" t="str">
        <f t="shared" si="6"/>
        <v>VOC_COMPL</v>
      </c>
      <c r="H36" t="str">
        <f t="shared" si="7"/>
        <v>C</v>
      </c>
      <c r="I36">
        <f t="shared" si="8"/>
        <v>1</v>
      </c>
      <c r="J36" t="b">
        <f t="shared" si="2"/>
        <v>1</v>
      </c>
      <c r="K36" s="44" t="s">
        <v>376</v>
      </c>
      <c r="L36" s="44" t="s">
        <v>344</v>
      </c>
      <c r="M36" s="44">
        <v>2</v>
      </c>
      <c r="N36" s="44" t="str">
        <f>VLOOKUP(K36,$F$2:$F$151,1,FALSE)</f>
        <v>mnths</v>
      </c>
    </row>
    <row r="37" spans="1:16" x14ac:dyDescent="0.25">
      <c r="A37" s="30">
        <v>29</v>
      </c>
      <c r="B37" s="30" t="s">
        <v>42</v>
      </c>
      <c r="C37" s="30">
        <v>4.0999999999999996</v>
      </c>
      <c r="D37" s="30">
        <v>4</v>
      </c>
      <c r="E37" s="30">
        <v>2</v>
      </c>
      <c r="F37" s="32" t="s">
        <v>230</v>
      </c>
      <c r="G37" t="str">
        <f t="shared" ref="G37:G68" si="11">VLOOKUP(F37,$K$2:$M$186,1,FALSE)</f>
        <v>VOC_FLD</v>
      </c>
      <c r="H37" t="str">
        <f t="shared" si="7"/>
        <v>C</v>
      </c>
      <c r="I37">
        <f t="shared" si="8"/>
        <v>2</v>
      </c>
      <c r="J37" t="b">
        <f t="shared" si="2"/>
        <v>1</v>
      </c>
      <c r="K37" t="s">
        <v>377</v>
      </c>
      <c r="L37" t="s">
        <v>344</v>
      </c>
      <c r="M37">
        <v>2</v>
      </c>
      <c r="N37" t="str">
        <f>VLOOKUP(K37,$F$2:$F$151,1,FALSE)</f>
        <v>curr_att</v>
      </c>
    </row>
    <row r="38" spans="1:16" x14ac:dyDescent="0.25">
      <c r="A38" s="30">
        <v>30</v>
      </c>
      <c r="B38" s="30" t="s">
        <v>43</v>
      </c>
      <c r="C38" s="30">
        <v>4.0999999999999996</v>
      </c>
      <c r="D38" s="30">
        <v>5</v>
      </c>
      <c r="E38" s="30">
        <v>1</v>
      </c>
      <c r="F38" s="32" t="s">
        <v>231</v>
      </c>
      <c r="G38" t="str">
        <f t="shared" si="11"/>
        <v>VOC_DUR</v>
      </c>
      <c r="H38" t="str">
        <f>VLOOKUP(F38,$K$2:$M$186,2,FALSE)</f>
        <v>C</v>
      </c>
      <c r="I38">
        <f t="shared" si="8"/>
        <v>1</v>
      </c>
      <c r="J38" t="b">
        <f t="shared" si="2"/>
        <v>1</v>
      </c>
      <c r="K38" s="44" t="s">
        <v>378</v>
      </c>
      <c r="L38" s="44" t="s">
        <v>344</v>
      </c>
      <c r="M38" s="44">
        <v>2</v>
      </c>
      <c r="N38" s="44" t="str">
        <f>VLOOKUP(K38,$F$2:$F$151,1,FALSE)</f>
        <v>secondary</v>
      </c>
    </row>
    <row r="39" spans="1:16" x14ac:dyDescent="0.25">
      <c r="A39" s="30">
        <v>31</v>
      </c>
      <c r="B39" s="30" t="s">
        <v>44</v>
      </c>
      <c r="C39" s="30">
        <v>4.0999999999999996</v>
      </c>
      <c r="D39" s="30">
        <v>6</v>
      </c>
      <c r="E39" s="30">
        <v>1</v>
      </c>
      <c r="F39" s="32" t="s">
        <v>232</v>
      </c>
      <c r="G39" t="str">
        <f t="shared" si="11"/>
        <v>VOC_TYP</v>
      </c>
      <c r="H39" t="str">
        <f>VLOOKUP(F39,$K$2:$M$186,2,FALSE)</f>
        <v>C</v>
      </c>
      <c r="I39">
        <f>VLOOKUP(F39,$K$2:$M$186,3,FALSE)</f>
        <v>1</v>
      </c>
      <c r="J39" t="b">
        <f t="shared" si="2"/>
        <v>1</v>
      </c>
      <c r="K39" t="s">
        <v>379</v>
      </c>
      <c r="L39" t="s">
        <v>344</v>
      </c>
      <c r="M39">
        <v>1</v>
      </c>
      <c r="N39" t="str">
        <f>VLOOKUP(K39,$F$2:$F$151,1,FALSE)</f>
        <v>voc</v>
      </c>
    </row>
    <row r="40" spans="1:16" x14ac:dyDescent="0.25">
      <c r="A40" s="30">
        <v>32</v>
      </c>
      <c r="B40" s="30" t="s">
        <v>45</v>
      </c>
      <c r="C40" s="30">
        <v>4.0999999999999996</v>
      </c>
      <c r="D40" s="30">
        <v>7</v>
      </c>
      <c r="E40" s="30">
        <v>1</v>
      </c>
      <c r="F40" s="32" t="s">
        <v>233</v>
      </c>
      <c r="G40" t="str">
        <f t="shared" si="11"/>
        <v>VOC_FUND</v>
      </c>
      <c r="H40" t="str">
        <f>VLOOKUP(F40,$K$2:$M$186,2,FALSE)</f>
        <v>C</v>
      </c>
      <c r="I40">
        <f>VLOOKUP(F40,$K$2:$M$186,3,FALSE)</f>
        <v>1</v>
      </c>
      <c r="J40" t="b">
        <f t="shared" si="2"/>
        <v>1</v>
      </c>
      <c r="K40" s="44" t="s">
        <v>380</v>
      </c>
      <c r="L40" s="44" t="s">
        <v>344</v>
      </c>
      <c r="M40" s="44">
        <v>1</v>
      </c>
      <c r="N40" s="44" t="str">
        <f>VLOOKUP(K40,$F$2:$F$151,1,FALSE)</f>
        <v>trg</v>
      </c>
    </row>
    <row r="41" spans="1:16" x14ac:dyDescent="0.25">
      <c r="A41" s="30"/>
      <c r="B41" s="30" t="s">
        <v>554</v>
      </c>
      <c r="C41" s="30"/>
      <c r="D41" s="30"/>
      <c r="E41" s="30">
        <v>1</v>
      </c>
      <c r="F41" s="44" t="s">
        <v>543</v>
      </c>
      <c r="G41" t="str">
        <f t="shared" si="11"/>
        <v>VOC_CERT</v>
      </c>
      <c r="H41" t="str">
        <f t="shared" ref="H41:H42" si="12">VLOOKUP(F41,$K$2:$M$186,2,FALSE)</f>
        <v>C</v>
      </c>
      <c r="I41">
        <f t="shared" ref="I41:I42" si="13">VLOOKUP(F41,$K$2:$M$186,3,FALSE)</f>
        <v>1</v>
      </c>
      <c r="J41" t="b">
        <f t="shared" si="2"/>
        <v>1</v>
      </c>
      <c r="K41" s="44"/>
      <c r="L41" s="44"/>
      <c r="M41" s="44"/>
      <c r="N41" s="44"/>
      <c r="P41" t="str">
        <f t="shared" ref="P41" si="14">LOWER(F41)</f>
        <v>voc_cert</v>
      </c>
    </row>
    <row r="42" spans="1:16" x14ac:dyDescent="0.25">
      <c r="A42" s="30">
        <v>33</v>
      </c>
      <c r="B42" s="30" t="s">
        <v>46</v>
      </c>
      <c r="C42" s="30">
        <v>5.0999999999999996</v>
      </c>
      <c r="D42" s="30">
        <v>3</v>
      </c>
      <c r="E42" s="30">
        <v>2</v>
      </c>
      <c r="F42" s="32" t="s">
        <v>234</v>
      </c>
      <c r="G42" t="str">
        <f t="shared" si="11"/>
        <v>PAS</v>
      </c>
      <c r="H42" t="str">
        <f t="shared" si="12"/>
        <v>C</v>
      </c>
      <c r="I42">
        <f t="shared" si="13"/>
        <v>2</v>
      </c>
      <c r="J42" t="b">
        <f t="shared" si="2"/>
        <v>1</v>
      </c>
      <c r="K42" s="44" t="s">
        <v>381</v>
      </c>
      <c r="L42" s="44" t="s">
        <v>344</v>
      </c>
      <c r="M42" s="44">
        <v>1</v>
      </c>
      <c r="N42" s="44" t="str">
        <f t="shared" ref="N42:N73" si="15">VLOOKUP(K42,$F$2:$F$151,1,FALSE)</f>
        <v>trg_com</v>
      </c>
    </row>
    <row r="43" spans="1:16" x14ac:dyDescent="0.25">
      <c r="A43" s="30">
        <v>34</v>
      </c>
      <c r="B43" s="30" t="s">
        <v>155</v>
      </c>
      <c r="C43" s="30">
        <v>5.0999999999999996</v>
      </c>
      <c r="D43" s="30">
        <v>5</v>
      </c>
      <c r="E43" s="30">
        <v>5</v>
      </c>
      <c r="F43" s="32" t="s">
        <v>235</v>
      </c>
      <c r="G43" t="str">
        <f t="shared" si="11"/>
        <v>IND_PAS</v>
      </c>
      <c r="H43" t="str">
        <f t="shared" ref="H43:H74" si="16">VLOOKUP(F43,$K$2:$M$186,2,FALSE)</f>
        <v>C</v>
      </c>
      <c r="I43">
        <f t="shared" ref="I43:I74" si="17">VLOOKUP(F43,$K$2:$M$186,3,FALSE)</f>
        <v>5</v>
      </c>
      <c r="J43" t="b">
        <f t="shared" si="2"/>
        <v>1</v>
      </c>
      <c r="K43" t="s">
        <v>382</v>
      </c>
      <c r="L43" t="s">
        <v>344</v>
      </c>
      <c r="M43">
        <v>1</v>
      </c>
      <c r="N43" t="str">
        <f t="shared" si="15"/>
        <v>voc_compl</v>
      </c>
    </row>
    <row r="44" spans="1:16" x14ac:dyDescent="0.25">
      <c r="A44" s="30">
        <v>35</v>
      </c>
      <c r="B44" s="30" t="s">
        <v>156</v>
      </c>
      <c r="C44" s="30">
        <v>5.0999999999999996</v>
      </c>
      <c r="D44" s="30">
        <v>6</v>
      </c>
      <c r="E44" s="30">
        <v>3</v>
      </c>
      <c r="F44" s="32" t="s">
        <v>236</v>
      </c>
      <c r="G44" t="str">
        <f t="shared" si="11"/>
        <v>OCU_PAS</v>
      </c>
      <c r="H44" t="str">
        <f t="shared" si="16"/>
        <v>C</v>
      </c>
      <c r="I44">
        <f t="shared" si="17"/>
        <v>3</v>
      </c>
      <c r="J44" t="b">
        <f t="shared" si="2"/>
        <v>1</v>
      </c>
      <c r="K44" t="s">
        <v>383</v>
      </c>
      <c r="L44" t="s">
        <v>344</v>
      </c>
      <c r="M44">
        <v>2</v>
      </c>
      <c r="N44" t="str">
        <f t="shared" si="15"/>
        <v>voc_fld</v>
      </c>
    </row>
    <row r="45" spans="1:16" x14ac:dyDescent="0.25">
      <c r="A45" s="30">
        <v>36</v>
      </c>
      <c r="B45" s="30" t="s">
        <v>47</v>
      </c>
      <c r="C45" s="30">
        <v>5.0999999999999996</v>
      </c>
      <c r="D45" s="30">
        <v>7</v>
      </c>
      <c r="E45" s="30">
        <v>1</v>
      </c>
      <c r="F45" s="32" t="s">
        <v>237</v>
      </c>
      <c r="G45" t="str">
        <f t="shared" si="11"/>
        <v>HAS_SAS</v>
      </c>
      <c r="H45" t="str">
        <f t="shared" si="16"/>
        <v>C</v>
      </c>
      <c r="I45">
        <f t="shared" si="17"/>
        <v>1</v>
      </c>
      <c r="J45" t="b">
        <f t="shared" si="2"/>
        <v>1</v>
      </c>
      <c r="K45" t="s">
        <v>384</v>
      </c>
      <c r="L45" t="s">
        <v>344</v>
      </c>
      <c r="M45">
        <v>1</v>
      </c>
      <c r="N45" t="str">
        <f t="shared" si="15"/>
        <v>voc_dur</v>
      </c>
    </row>
    <row r="46" spans="1:16" x14ac:dyDescent="0.25">
      <c r="A46" s="30">
        <v>37</v>
      </c>
      <c r="B46" s="30" t="s">
        <v>49</v>
      </c>
      <c r="C46" s="30">
        <v>5.0999999999999996</v>
      </c>
      <c r="D46" s="30">
        <v>8</v>
      </c>
      <c r="E46" s="30">
        <v>2</v>
      </c>
      <c r="F46" s="32" t="s">
        <v>238</v>
      </c>
      <c r="G46" t="str">
        <f t="shared" si="11"/>
        <v>LOC_PAS</v>
      </c>
      <c r="H46" t="str">
        <f t="shared" si="16"/>
        <v>C</v>
      </c>
      <c r="I46">
        <f t="shared" si="17"/>
        <v>2</v>
      </c>
      <c r="J46" t="b">
        <f t="shared" si="2"/>
        <v>1</v>
      </c>
      <c r="K46" t="s">
        <v>385</v>
      </c>
      <c r="L46" t="s">
        <v>344</v>
      </c>
      <c r="M46">
        <v>1</v>
      </c>
      <c r="N46" t="str">
        <f t="shared" si="15"/>
        <v>voc_typ</v>
      </c>
    </row>
    <row r="47" spans="1:16" x14ac:dyDescent="0.25">
      <c r="A47" s="30">
        <v>38</v>
      </c>
      <c r="B47" s="30" t="s">
        <v>50</v>
      </c>
      <c r="C47" s="30">
        <v>5.0999999999999996</v>
      </c>
      <c r="D47" s="30">
        <v>9</v>
      </c>
      <c r="E47" s="30">
        <v>2</v>
      </c>
      <c r="F47" s="32" t="s">
        <v>239</v>
      </c>
      <c r="G47" t="str">
        <f t="shared" si="11"/>
        <v>ETYP_PAS</v>
      </c>
      <c r="H47" t="str">
        <f t="shared" si="16"/>
        <v>C</v>
      </c>
      <c r="I47">
        <f t="shared" si="17"/>
        <v>2</v>
      </c>
      <c r="J47" t="b">
        <f t="shared" si="2"/>
        <v>1</v>
      </c>
      <c r="K47" t="s">
        <v>386</v>
      </c>
      <c r="L47" t="s">
        <v>344</v>
      </c>
      <c r="M47">
        <v>1</v>
      </c>
      <c r="N47" t="str">
        <f t="shared" si="15"/>
        <v>voc_fund</v>
      </c>
    </row>
    <row r="48" spans="1:16" x14ac:dyDescent="0.25">
      <c r="A48" s="30">
        <v>39</v>
      </c>
      <c r="B48" s="30" t="s">
        <v>51</v>
      </c>
      <c r="C48" s="30">
        <v>5.0999999999999996</v>
      </c>
      <c r="D48" s="30">
        <v>10</v>
      </c>
      <c r="E48" s="30">
        <v>1</v>
      </c>
      <c r="F48" s="32" t="s">
        <v>240</v>
      </c>
      <c r="G48" t="str">
        <f t="shared" si="11"/>
        <v>WRKR_PAS</v>
      </c>
      <c r="H48" t="str">
        <f t="shared" si="16"/>
        <v>C</v>
      </c>
      <c r="I48">
        <f t="shared" si="17"/>
        <v>1</v>
      </c>
      <c r="J48" t="b">
        <f t="shared" si="2"/>
        <v>1</v>
      </c>
      <c r="K48" s="44" t="s">
        <v>387</v>
      </c>
      <c r="L48" s="44" t="s">
        <v>344</v>
      </c>
      <c r="M48" s="44">
        <v>1</v>
      </c>
      <c r="N48" s="44" t="str">
        <f t="shared" si="15"/>
        <v>voc_cert</v>
      </c>
    </row>
    <row r="49" spans="1:14" x14ac:dyDescent="0.25">
      <c r="A49" s="30">
        <v>40</v>
      </c>
      <c r="B49" s="30" t="s">
        <v>52</v>
      </c>
      <c r="C49" s="30">
        <v>5.0999999999999996</v>
      </c>
      <c r="D49" s="30">
        <v>11</v>
      </c>
      <c r="E49" s="30">
        <v>1</v>
      </c>
      <c r="F49" s="32" t="s">
        <v>241</v>
      </c>
      <c r="G49" t="str">
        <f t="shared" si="11"/>
        <v>JOB_PAS</v>
      </c>
      <c r="H49" t="str">
        <f t="shared" si="16"/>
        <v>C</v>
      </c>
      <c r="I49">
        <f t="shared" si="17"/>
        <v>1</v>
      </c>
      <c r="J49" t="b">
        <f t="shared" si="2"/>
        <v>1</v>
      </c>
      <c r="K49" t="s">
        <v>388</v>
      </c>
      <c r="L49" t="s">
        <v>344</v>
      </c>
      <c r="M49">
        <v>2</v>
      </c>
      <c r="N49" t="str">
        <f t="shared" si="15"/>
        <v>pas</v>
      </c>
    </row>
    <row r="50" spans="1:14" x14ac:dyDescent="0.25">
      <c r="A50" s="30">
        <v>41</v>
      </c>
      <c r="B50" s="30" t="s">
        <v>53</v>
      </c>
      <c r="C50" s="30">
        <v>5.0999999999999996</v>
      </c>
      <c r="D50" s="30">
        <v>12</v>
      </c>
      <c r="E50" s="30">
        <v>1</v>
      </c>
      <c r="F50" s="32" t="s">
        <v>242</v>
      </c>
      <c r="G50" t="str">
        <f t="shared" si="11"/>
        <v>LEAVE_PAS</v>
      </c>
      <c r="H50" t="str">
        <f t="shared" si="16"/>
        <v>C</v>
      </c>
      <c r="I50">
        <f t="shared" si="17"/>
        <v>1</v>
      </c>
      <c r="J50" t="b">
        <f t="shared" si="2"/>
        <v>1</v>
      </c>
      <c r="K50" s="43" t="s">
        <v>389</v>
      </c>
      <c r="L50" s="43" t="s">
        <v>344</v>
      </c>
      <c r="M50" s="43">
        <v>100</v>
      </c>
      <c r="N50" s="43" t="e">
        <f t="shared" si="15"/>
        <v>#N/A</v>
      </c>
    </row>
    <row r="51" spans="1:14" x14ac:dyDescent="0.25">
      <c r="A51" s="30">
        <v>42</v>
      </c>
      <c r="B51" s="30" t="s">
        <v>54</v>
      </c>
      <c r="C51" s="30">
        <v>5.0999999999999996</v>
      </c>
      <c r="D51" s="30">
        <v>13</v>
      </c>
      <c r="E51" s="30">
        <v>1</v>
      </c>
      <c r="F51" s="32" t="s">
        <v>243</v>
      </c>
      <c r="G51" t="str">
        <f t="shared" si="11"/>
        <v>SSEC_PAS</v>
      </c>
      <c r="H51" t="str">
        <f t="shared" si="16"/>
        <v>C</v>
      </c>
      <c r="I51">
        <f t="shared" si="17"/>
        <v>1</v>
      </c>
      <c r="J51" t="b">
        <f t="shared" si="2"/>
        <v>1</v>
      </c>
      <c r="K51" s="43" t="s">
        <v>390</v>
      </c>
      <c r="L51" s="43" t="s">
        <v>344</v>
      </c>
      <c r="M51" s="43">
        <v>1</v>
      </c>
      <c r="N51" s="43" t="e">
        <f t="shared" si="15"/>
        <v>#N/A</v>
      </c>
    </row>
    <row r="52" spans="1:14" x14ac:dyDescent="0.25">
      <c r="A52" s="30">
        <v>43</v>
      </c>
      <c r="B52" s="30" t="s">
        <v>166</v>
      </c>
      <c r="C52" s="30">
        <v>5.0999999999999996</v>
      </c>
      <c r="D52" s="30">
        <v>14</v>
      </c>
      <c r="E52" s="30">
        <v>1</v>
      </c>
      <c r="F52" s="32" t="s">
        <v>244</v>
      </c>
      <c r="G52" t="str">
        <f t="shared" si="11"/>
        <v>ECOPRD_PAS</v>
      </c>
      <c r="H52" t="str">
        <f t="shared" si="16"/>
        <v>C</v>
      </c>
      <c r="I52">
        <f t="shared" si="17"/>
        <v>1</v>
      </c>
      <c r="J52" t="b">
        <f t="shared" si="2"/>
        <v>1</v>
      </c>
      <c r="K52" t="s">
        <v>391</v>
      </c>
      <c r="L52" t="s">
        <v>344</v>
      </c>
      <c r="M52">
        <v>5</v>
      </c>
      <c r="N52" t="str">
        <f t="shared" si="15"/>
        <v>ind_pas</v>
      </c>
    </row>
    <row r="53" spans="1:14" x14ac:dyDescent="0.25">
      <c r="A53" s="30">
        <v>44</v>
      </c>
      <c r="B53" s="30" t="s">
        <v>46</v>
      </c>
      <c r="C53" s="30">
        <v>5.2</v>
      </c>
      <c r="D53" s="30">
        <v>3</v>
      </c>
      <c r="E53" s="30">
        <v>2</v>
      </c>
      <c r="F53" s="32" t="s">
        <v>245</v>
      </c>
      <c r="G53" t="str">
        <f t="shared" si="11"/>
        <v>SAS</v>
      </c>
      <c r="H53" t="str">
        <f t="shared" si="16"/>
        <v>C</v>
      </c>
      <c r="I53">
        <f t="shared" si="17"/>
        <v>2</v>
      </c>
      <c r="J53" t="b">
        <f t="shared" si="2"/>
        <v>1</v>
      </c>
      <c r="K53" t="s">
        <v>392</v>
      </c>
      <c r="L53" t="s">
        <v>344</v>
      </c>
      <c r="M53">
        <v>3</v>
      </c>
      <c r="N53" t="str">
        <f t="shared" si="15"/>
        <v>ocu_pas</v>
      </c>
    </row>
    <row r="54" spans="1:14" x14ac:dyDescent="0.25">
      <c r="A54" s="30">
        <v>45</v>
      </c>
      <c r="B54" s="30" t="s">
        <v>155</v>
      </c>
      <c r="C54" s="30">
        <v>5.2</v>
      </c>
      <c r="D54" s="30">
        <v>5</v>
      </c>
      <c r="E54" s="30">
        <v>5</v>
      </c>
      <c r="F54" s="32" t="s">
        <v>246</v>
      </c>
      <c r="G54" t="str">
        <f t="shared" si="11"/>
        <v>IND_SAS</v>
      </c>
      <c r="H54" t="str">
        <f t="shared" si="16"/>
        <v>C</v>
      </c>
      <c r="I54">
        <f t="shared" si="17"/>
        <v>5</v>
      </c>
      <c r="J54" t="b">
        <f t="shared" si="2"/>
        <v>1</v>
      </c>
      <c r="K54" t="s">
        <v>393</v>
      </c>
      <c r="L54" t="s">
        <v>344</v>
      </c>
      <c r="M54">
        <v>1</v>
      </c>
      <c r="N54" t="str">
        <f t="shared" si="15"/>
        <v>has_sas</v>
      </c>
    </row>
    <row r="55" spans="1:14" x14ac:dyDescent="0.25">
      <c r="A55" s="30">
        <v>46</v>
      </c>
      <c r="B55" s="30" t="s">
        <v>156</v>
      </c>
      <c r="C55" s="30">
        <v>5.2</v>
      </c>
      <c r="D55" s="30">
        <v>6</v>
      </c>
      <c r="E55" s="30">
        <v>3</v>
      </c>
      <c r="F55" s="32" t="s">
        <v>247</v>
      </c>
      <c r="G55" t="str">
        <f t="shared" si="11"/>
        <v>OCU_SAS</v>
      </c>
      <c r="H55" t="str">
        <f t="shared" si="16"/>
        <v>C</v>
      </c>
      <c r="I55">
        <f t="shared" si="17"/>
        <v>3</v>
      </c>
      <c r="J55" t="b">
        <f t="shared" si="2"/>
        <v>1</v>
      </c>
      <c r="K55" t="s">
        <v>394</v>
      </c>
      <c r="L55" t="s">
        <v>344</v>
      </c>
      <c r="M55">
        <v>2</v>
      </c>
      <c r="N55" t="str">
        <f t="shared" si="15"/>
        <v>loc_pas</v>
      </c>
    </row>
    <row r="56" spans="1:14" x14ac:dyDescent="0.25">
      <c r="A56" s="30">
        <v>47</v>
      </c>
      <c r="B56" s="30" t="s">
        <v>55</v>
      </c>
      <c r="C56" s="30">
        <v>5.2</v>
      </c>
      <c r="D56" s="30">
        <v>7</v>
      </c>
      <c r="E56" s="30">
        <v>2</v>
      </c>
      <c r="F56" s="32" t="s">
        <v>248</v>
      </c>
      <c r="G56" t="str">
        <f t="shared" si="11"/>
        <v>LOC_SAS</v>
      </c>
      <c r="H56" t="str">
        <f t="shared" si="16"/>
        <v>C</v>
      </c>
      <c r="I56">
        <f t="shared" si="17"/>
        <v>2</v>
      </c>
      <c r="J56" t="b">
        <f t="shared" si="2"/>
        <v>1</v>
      </c>
      <c r="K56" t="s">
        <v>395</v>
      </c>
      <c r="L56" t="s">
        <v>344</v>
      </c>
      <c r="M56">
        <v>2</v>
      </c>
      <c r="N56" t="str">
        <f t="shared" si="15"/>
        <v>etyp_pas</v>
      </c>
    </row>
    <row r="57" spans="1:14" x14ac:dyDescent="0.25">
      <c r="A57" s="30">
        <v>48</v>
      </c>
      <c r="B57" s="30" t="s">
        <v>56</v>
      </c>
      <c r="C57" s="30">
        <v>5.2</v>
      </c>
      <c r="D57" s="30">
        <v>8</v>
      </c>
      <c r="E57" s="30">
        <v>2</v>
      </c>
      <c r="F57" s="32" t="s">
        <v>249</v>
      </c>
      <c r="G57" t="str">
        <f t="shared" si="11"/>
        <v>ETYP_SAS</v>
      </c>
      <c r="H57" t="str">
        <f t="shared" si="16"/>
        <v>C</v>
      </c>
      <c r="I57">
        <f t="shared" si="17"/>
        <v>2</v>
      </c>
      <c r="J57" t="b">
        <f t="shared" si="2"/>
        <v>1</v>
      </c>
      <c r="K57" t="s">
        <v>396</v>
      </c>
      <c r="L57" t="s">
        <v>344</v>
      </c>
      <c r="M57">
        <v>1</v>
      </c>
      <c r="N57" t="str">
        <f t="shared" si="15"/>
        <v>wrkr_pas</v>
      </c>
    </row>
    <row r="58" spans="1:14" x14ac:dyDescent="0.25">
      <c r="A58" s="30">
        <v>49</v>
      </c>
      <c r="B58" s="30" t="s">
        <v>57</v>
      </c>
      <c r="C58" s="30">
        <v>5.2</v>
      </c>
      <c r="D58" s="30">
        <v>9</v>
      </c>
      <c r="E58" s="30">
        <v>1</v>
      </c>
      <c r="F58" s="32" t="s">
        <v>250</v>
      </c>
      <c r="G58" t="str">
        <f t="shared" si="11"/>
        <v>WRKR_SAS</v>
      </c>
      <c r="H58" t="str">
        <f t="shared" si="16"/>
        <v>C</v>
      </c>
      <c r="I58">
        <f t="shared" si="17"/>
        <v>1</v>
      </c>
      <c r="J58" t="b">
        <f t="shared" si="2"/>
        <v>1</v>
      </c>
      <c r="K58" t="s">
        <v>397</v>
      </c>
      <c r="L58" t="s">
        <v>344</v>
      </c>
      <c r="M58">
        <v>1</v>
      </c>
      <c r="N58" t="str">
        <f t="shared" si="15"/>
        <v>job_pas</v>
      </c>
    </row>
    <row r="59" spans="1:14" x14ac:dyDescent="0.25">
      <c r="A59" s="30">
        <v>50</v>
      </c>
      <c r="B59" s="30" t="s">
        <v>58</v>
      </c>
      <c r="C59" s="30">
        <v>5.2</v>
      </c>
      <c r="D59" s="30">
        <v>10</v>
      </c>
      <c r="E59" s="30">
        <v>1</v>
      </c>
      <c r="F59" s="32" t="s">
        <v>251</v>
      </c>
      <c r="G59" t="str">
        <f t="shared" si="11"/>
        <v>JOB_SAS</v>
      </c>
      <c r="H59" t="str">
        <f t="shared" si="16"/>
        <v>C</v>
      </c>
      <c r="I59">
        <f t="shared" si="17"/>
        <v>1</v>
      </c>
      <c r="J59" t="b">
        <f t="shared" si="2"/>
        <v>1</v>
      </c>
      <c r="K59" t="s">
        <v>398</v>
      </c>
      <c r="L59" t="s">
        <v>344</v>
      </c>
      <c r="M59">
        <v>1</v>
      </c>
      <c r="N59" t="str">
        <f t="shared" si="15"/>
        <v>leave_pas</v>
      </c>
    </row>
    <row r="60" spans="1:14" x14ac:dyDescent="0.25">
      <c r="A60" s="30">
        <v>51</v>
      </c>
      <c r="B60" s="30" t="s">
        <v>59</v>
      </c>
      <c r="C60" s="30">
        <v>5.2</v>
      </c>
      <c r="D60" s="30">
        <v>11</v>
      </c>
      <c r="E60" s="30">
        <v>1</v>
      </c>
      <c r="F60" s="32" t="s">
        <v>252</v>
      </c>
      <c r="G60" t="str">
        <f t="shared" si="11"/>
        <v>LEAVE_SAS</v>
      </c>
      <c r="H60" t="str">
        <f t="shared" si="16"/>
        <v>C</v>
      </c>
      <c r="I60">
        <f t="shared" si="17"/>
        <v>1</v>
      </c>
      <c r="J60" t="b">
        <f t="shared" si="2"/>
        <v>1</v>
      </c>
      <c r="K60" t="s">
        <v>399</v>
      </c>
      <c r="L60" t="s">
        <v>344</v>
      </c>
      <c r="M60">
        <v>1</v>
      </c>
      <c r="N60" t="str">
        <f t="shared" si="15"/>
        <v>ssec_pas</v>
      </c>
    </row>
    <row r="61" spans="1:14" x14ac:dyDescent="0.25">
      <c r="A61" s="30">
        <v>52</v>
      </c>
      <c r="B61" s="30" t="s">
        <v>60</v>
      </c>
      <c r="C61" s="30">
        <v>5.2</v>
      </c>
      <c r="D61" s="30">
        <v>12</v>
      </c>
      <c r="E61" s="30">
        <v>1</v>
      </c>
      <c r="F61" s="32" t="s">
        <v>253</v>
      </c>
      <c r="G61" t="str">
        <f t="shared" si="11"/>
        <v>SSEC_SAS</v>
      </c>
      <c r="H61" t="str">
        <f t="shared" si="16"/>
        <v>C</v>
      </c>
      <c r="I61">
        <f t="shared" si="17"/>
        <v>1</v>
      </c>
      <c r="J61" t="b">
        <f t="shared" si="2"/>
        <v>1</v>
      </c>
      <c r="K61" t="s">
        <v>400</v>
      </c>
      <c r="L61" t="s">
        <v>344</v>
      </c>
      <c r="M61">
        <v>1</v>
      </c>
      <c r="N61" t="str">
        <f t="shared" si="15"/>
        <v>ecoprd_pas</v>
      </c>
    </row>
    <row r="62" spans="1:14" x14ac:dyDescent="0.25">
      <c r="A62" s="30">
        <v>53</v>
      </c>
      <c r="B62" s="30" t="s">
        <v>167</v>
      </c>
      <c r="C62" s="30">
        <v>5.2</v>
      </c>
      <c r="D62" s="30">
        <v>13</v>
      </c>
      <c r="E62" s="30">
        <v>1</v>
      </c>
      <c r="F62" s="32" t="s">
        <v>254</v>
      </c>
      <c r="G62" t="str">
        <f t="shared" si="11"/>
        <v>ECOPRD_SAS</v>
      </c>
      <c r="H62" t="str">
        <f t="shared" si="16"/>
        <v>C</v>
      </c>
      <c r="I62">
        <f t="shared" si="17"/>
        <v>1</v>
      </c>
      <c r="J62" t="b">
        <f t="shared" si="2"/>
        <v>1</v>
      </c>
      <c r="K62" s="45" t="s">
        <v>401</v>
      </c>
      <c r="L62" s="45" t="s">
        <v>344</v>
      </c>
      <c r="M62" s="45">
        <v>1</v>
      </c>
      <c r="N62" s="45" t="e">
        <f t="shared" si="15"/>
        <v>#N/A</v>
      </c>
    </row>
    <row r="63" spans="1:14" x14ac:dyDescent="0.25">
      <c r="A63" s="30">
        <v>54</v>
      </c>
      <c r="B63" s="30" t="s">
        <v>168</v>
      </c>
      <c r="C63" s="30">
        <v>5.3</v>
      </c>
      <c r="D63" s="30">
        <v>5</v>
      </c>
      <c r="E63" s="30">
        <v>1</v>
      </c>
      <c r="F63" s="32" t="s">
        <v>255</v>
      </c>
      <c r="G63" t="str">
        <f t="shared" si="11"/>
        <v>WRK_365</v>
      </c>
      <c r="H63" t="str">
        <f t="shared" si="16"/>
        <v>C</v>
      </c>
      <c r="I63">
        <f t="shared" si="17"/>
        <v>1</v>
      </c>
      <c r="J63" t="b">
        <f t="shared" si="2"/>
        <v>1</v>
      </c>
      <c r="K63" s="45" t="s">
        <v>402</v>
      </c>
      <c r="L63" s="45" t="s">
        <v>344</v>
      </c>
      <c r="M63" s="45">
        <v>1</v>
      </c>
      <c r="N63" s="45" t="e">
        <f t="shared" si="15"/>
        <v>#N/A</v>
      </c>
    </row>
    <row r="64" spans="1:14" x14ac:dyDescent="0.25">
      <c r="A64" s="30">
        <v>55</v>
      </c>
      <c r="B64" s="30" t="s">
        <v>169</v>
      </c>
      <c r="C64" s="30">
        <v>5.3</v>
      </c>
      <c r="D64" s="30">
        <v>6</v>
      </c>
      <c r="E64" s="30">
        <v>1</v>
      </c>
      <c r="F64" s="32" t="s">
        <v>256</v>
      </c>
      <c r="G64" t="str">
        <f t="shared" si="11"/>
        <v>DUR_PAS</v>
      </c>
      <c r="H64" t="str">
        <f t="shared" si="16"/>
        <v>C</v>
      </c>
      <c r="I64">
        <f t="shared" si="17"/>
        <v>1</v>
      </c>
      <c r="J64" t="b">
        <f t="shared" si="2"/>
        <v>1</v>
      </c>
      <c r="K64" t="s">
        <v>403</v>
      </c>
      <c r="L64" t="s">
        <v>344</v>
      </c>
      <c r="M64">
        <v>2</v>
      </c>
      <c r="N64" t="str">
        <f t="shared" si="15"/>
        <v>sas</v>
      </c>
    </row>
    <row r="65" spans="1:14" x14ac:dyDescent="0.25">
      <c r="A65" s="30">
        <v>56</v>
      </c>
      <c r="B65" s="30" t="s">
        <v>170</v>
      </c>
      <c r="C65" s="30">
        <v>5.3</v>
      </c>
      <c r="D65" s="30">
        <v>7</v>
      </c>
      <c r="E65" s="30">
        <v>1</v>
      </c>
      <c r="F65" s="32" t="s">
        <v>257</v>
      </c>
      <c r="G65" t="str">
        <f t="shared" si="11"/>
        <v>DUR_SAS</v>
      </c>
      <c r="H65" t="str">
        <f t="shared" si="16"/>
        <v>C</v>
      </c>
      <c r="I65">
        <f t="shared" si="17"/>
        <v>1</v>
      </c>
      <c r="J65" t="b">
        <f t="shared" si="2"/>
        <v>1</v>
      </c>
      <c r="K65" s="43" t="s">
        <v>404</v>
      </c>
      <c r="L65" s="43" t="s">
        <v>344</v>
      </c>
      <c r="M65" s="43">
        <v>100</v>
      </c>
      <c r="N65" s="43" t="e">
        <f t="shared" si="15"/>
        <v>#N/A</v>
      </c>
    </row>
    <row r="66" spans="1:14" x14ac:dyDescent="0.25">
      <c r="A66" s="30">
        <v>57</v>
      </c>
      <c r="B66" s="30" t="s">
        <v>171</v>
      </c>
      <c r="C66" s="30">
        <v>5.3</v>
      </c>
      <c r="D66" s="30">
        <v>8</v>
      </c>
      <c r="E66" s="30">
        <v>1</v>
      </c>
      <c r="F66" s="32" t="s">
        <v>258</v>
      </c>
      <c r="G66" t="str">
        <f t="shared" si="11"/>
        <v>EFF_PAS</v>
      </c>
      <c r="H66" t="str">
        <f t="shared" si="16"/>
        <v>C</v>
      </c>
      <c r="I66">
        <f t="shared" si="17"/>
        <v>1</v>
      </c>
      <c r="J66" t="b">
        <f t="shared" si="2"/>
        <v>1</v>
      </c>
      <c r="K66" s="43" t="s">
        <v>405</v>
      </c>
      <c r="L66" s="43" t="s">
        <v>344</v>
      </c>
      <c r="M66" s="43">
        <v>1</v>
      </c>
      <c r="N66" s="43" t="e">
        <f t="shared" si="15"/>
        <v>#N/A</v>
      </c>
    </row>
    <row r="67" spans="1:14" x14ac:dyDescent="0.25">
      <c r="A67" s="30">
        <v>58</v>
      </c>
      <c r="B67" s="30" t="s">
        <v>172</v>
      </c>
      <c r="C67" s="30">
        <v>5.3</v>
      </c>
      <c r="D67" s="30">
        <v>9</v>
      </c>
      <c r="E67" s="30">
        <v>1</v>
      </c>
      <c r="F67" s="32" t="s">
        <v>259</v>
      </c>
      <c r="G67" t="str">
        <f t="shared" si="11"/>
        <v>DUR_UNP</v>
      </c>
      <c r="H67" t="str">
        <f t="shared" si="16"/>
        <v>C</v>
      </c>
      <c r="I67">
        <f t="shared" si="17"/>
        <v>1</v>
      </c>
      <c r="J67" t="b">
        <f t="shared" ref="J67:J130" si="18">E67=I67</f>
        <v>1</v>
      </c>
      <c r="K67" t="s">
        <v>406</v>
      </c>
      <c r="L67" t="s">
        <v>344</v>
      </c>
      <c r="M67">
        <v>5</v>
      </c>
      <c r="N67" t="str">
        <f t="shared" si="15"/>
        <v>ind_sas</v>
      </c>
    </row>
    <row r="68" spans="1:14" x14ac:dyDescent="0.25">
      <c r="A68" s="30">
        <v>59</v>
      </c>
      <c r="B68" s="30" t="s">
        <v>173</v>
      </c>
      <c r="C68" s="30">
        <v>5.3</v>
      </c>
      <c r="D68" s="30">
        <v>10</v>
      </c>
      <c r="E68" s="30">
        <v>1</v>
      </c>
      <c r="F68" s="32" t="s">
        <v>260</v>
      </c>
      <c r="G68" t="str">
        <f t="shared" si="11"/>
        <v>EVR_WRK</v>
      </c>
      <c r="H68" t="str">
        <f t="shared" si="16"/>
        <v>C</v>
      </c>
      <c r="I68">
        <f t="shared" si="17"/>
        <v>1</v>
      </c>
      <c r="J68" t="b">
        <f t="shared" si="18"/>
        <v>1</v>
      </c>
      <c r="K68" t="s">
        <v>407</v>
      </c>
      <c r="L68" t="s">
        <v>344</v>
      </c>
      <c r="M68">
        <v>3</v>
      </c>
      <c r="N68" t="str">
        <f t="shared" si="15"/>
        <v>ocu_sas</v>
      </c>
    </row>
    <row r="69" spans="1:14" x14ac:dyDescent="0.25">
      <c r="A69" s="30">
        <v>60</v>
      </c>
      <c r="B69" s="40" t="s">
        <v>174</v>
      </c>
      <c r="C69" s="40">
        <v>5.3</v>
      </c>
      <c r="D69" s="40">
        <v>11</v>
      </c>
      <c r="E69" s="40">
        <v>2</v>
      </c>
      <c r="F69" s="32" t="s">
        <v>261</v>
      </c>
      <c r="G69" t="str">
        <f t="shared" ref="G69:G100" si="19">VLOOKUP(F69,$K$2:$M$186,1,FALSE)</f>
        <v>REA_NW</v>
      </c>
      <c r="H69" t="str">
        <f t="shared" si="16"/>
        <v>C</v>
      </c>
      <c r="I69">
        <f t="shared" si="17"/>
        <v>2</v>
      </c>
      <c r="J69" t="b">
        <f t="shared" si="18"/>
        <v>1</v>
      </c>
      <c r="K69" t="s">
        <v>408</v>
      </c>
      <c r="L69" t="s">
        <v>344</v>
      </c>
      <c r="M69">
        <v>2</v>
      </c>
      <c r="N69" t="str">
        <f t="shared" si="15"/>
        <v>loc_sas</v>
      </c>
    </row>
    <row r="70" spans="1:14" x14ac:dyDescent="0.25">
      <c r="A70" s="30">
        <v>61</v>
      </c>
      <c r="B70" s="30" t="s">
        <v>175</v>
      </c>
      <c r="C70" s="30">
        <v>5.3</v>
      </c>
      <c r="D70" s="30">
        <v>12</v>
      </c>
      <c r="E70" s="30">
        <v>1</v>
      </c>
      <c r="F70" s="32" t="s">
        <v>262</v>
      </c>
      <c r="G70" t="str">
        <f t="shared" si="19"/>
        <v>REA</v>
      </c>
      <c r="H70" t="str">
        <f t="shared" si="16"/>
        <v>C</v>
      </c>
      <c r="I70">
        <f t="shared" si="17"/>
        <v>1</v>
      </c>
      <c r="J70" t="b">
        <f t="shared" si="18"/>
        <v>1</v>
      </c>
      <c r="K70" t="s">
        <v>409</v>
      </c>
      <c r="L70" t="s">
        <v>344</v>
      </c>
      <c r="M70">
        <v>2</v>
      </c>
      <c r="N70" t="str">
        <f t="shared" si="15"/>
        <v>etyp_sas</v>
      </c>
    </row>
    <row r="71" spans="1:14" x14ac:dyDescent="0.25">
      <c r="A71" s="30">
        <v>62</v>
      </c>
      <c r="B71" s="30" t="s">
        <v>61</v>
      </c>
      <c r="C71" s="30">
        <v>6</v>
      </c>
      <c r="D71" s="38" t="s">
        <v>69</v>
      </c>
      <c r="E71" s="30">
        <v>2</v>
      </c>
      <c r="F71" s="32" t="s">
        <v>263</v>
      </c>
      <c r="G71" t="str">
        <f t="shared" si="19"/>
        <v>DAS17</v>
      </c>
      <c r="H71" t="str">
        <f t="shared" si="16"/>
        <v>C</v>
      </c>
      <c r="I71">
        <f t="shared" si="17"/>
        <v>2</v>
      </c>
      <c r="J71" t="b">
        <f t="shared" si="18"/>
        <v>1</v>
      </c>
      <c r="K71" t="s">
        <v>410</v>
      </c>
      <c r="L71" t="s">
        <v>344</v>
      </c>
      <c r="M71">
        <v>1</v>
      </c>
      <c r="N71" t="str">
        <f t="shared" si="15"/>
        <v>wrkr_sas</v>
      </c>
    </row>
    <row r="72" spans="1:14" x14ac:dyDescent="0.25">
      <c r="A72" s="30">
        <v>63</v>
      </c>
      <c r="B72" s="30" t="s">
        <v>157</v>
      </c>
      <c r="C72" s="30">
        <v>6</v>
      </c>
      <c r="D72" s="38" t="s">
        <v>70</v>
      </c>
      <c r="E72" s="30">
        <v>2</v>
      </c>
      <c r="F72" s="32" t="s">
        <v>264</v>
      </c>
      <c r="G72" t="str">
        <f t="shared" si="19"/>
        <v>IND17</v>
      </c>
      <c r="H72" t="str">
        <f t="shared" si="16"/>
        <v>C</v>
      </c>
      <c r="I72">
        <f t="shared" si="17"/>
        <v>2</v>
      </c>
      <c r="J72" t="b">
        <f t="shared" si="18"/>
        <v>1</v>
      </c>
      <c r="K72" t="s">
        <v>411</v>
      </c>
      <c r="L72" t="s">
        <v>344</v>
      </c>
      <c r="M72">
        <v>1</v>
      </c>
      <c r="N72" t="str">
        <f t="shared" si="15"/>
        <v>job_sas</v>
      </c>
    </row>
    <row r="73" spans="1:14" x14ac:dyDescent="0.25">
      <c r="A73" s="30">
        <v>64</v>
      </c>
      <c r="B73" s="30" t="s">
        <v>74</v>
      </c>
      <c r="C73" s="30">
        <v>6</v>
      </c>
      <c r="D73" s="38" t="s">
        <v>63</v>
      </c>
      <c r="E73" s="30">
        <v>2</v>
      </c>
      <c r="F73" s="32" t="s">
        <v>265</v>
      </c>
      <c r="G73" t="str">
        <f t="shared" si="19"/>
        <v>HR17</v>
      </c>
      <c r="H73" t="str">
        <f t="shared" si="16"/>
        <v>N</v>
      </c>
      <c r="I73">
        <f t="shared" si="17"/>
        <v>2</v>
      </c>
      <c r="J73" t="b">
        <f t="shared" si="18"/>
        <v>1</v>
      </c>
      <c r="K73" t="s">
        <v>412</v>
      </c>
      <c r="L73" t="s">
        <v>344</v>
      </c>
      <c r="M73">
        <v>1</v>
      </c>
      <c r="N73" t="str">
        <f t="shared" si="15"/>
        <v>leave_sas</v>
      </c>
    </row>
    <row r="74" spans="1:14" x14ac:dyDescent="0.25">
      <c r="A74" s="30">
        <v>65</v>
      </c>
      <c r="B74" s="30" t="s">
        <v>73</v>
      </c>
      <c r="C74" s="30">
        <v>6</v>
      </c>
      <c r="D74" s="38" t="s">
        <v>66</v>
      </c>
      <c r="E74" s="30">
        <v>5</v>
      </c>
      <c r="F74" s="32" t="s">
        <v>266</v>
      </c>
      <c r="G74" t="str">
        <f t="shared" si="19"/>
        <v>ERN17</v>
      </c>
      <c r="H74" t="str">
        <f t="shared" si="16"/>
        <v>N</v>
      </c>
      <c r="I74">
        <f t="shared" si="17"/>
        <v>5</v>
      </c>
      <c r="J74" t="b">
        <f t="shared" si="18"/>
        <v>1</v>
      </c>
      <c r="K74" t="s">
        <v>413</v>
      </c>
      <c r="L74" t="s">
        <v>344</v>
      </c>
      <c r="M74">
        <v>1</v>
      </c>
      <c r="N74" t="str">
        <f t="shared" ref="N74:N105" si="20">VLOOKUP(K74,$F$2:$F$151,1,FALSE)</f>
        <v>ssec_sas</v>
      </c>
    </row>
    <row r="75" spans="1:14" x14ac:dyDescent="0.25">
      <c r="A75" s="30">
        <v>66</v>
      </c>
      <c r="B75" s="30" t="s">
        <v>62</v>
      </c>
      <c r="C75" s="30">
        <v>6</v>
      </c>
      <c r="D75" s="38" t="s">
        <v>69</v>
      </c>
      <c r="E75" s="30">
        <v>2</v>
      </c>
      <c r="F75" s="32" t="s">
        <v>267</v>
      </c>
      <c r="G75" t="str">
        <f t="shared" si="19"/>
        <v>DAS27</v>
      </c>
      <c r="H75" t="str">
        <f t="shared" ref="H75:H106" si="21">VLOOKUP(F75,$K$2:$M$186,2,FALSE)</f>
        <v>C</v>
      </c>
      <c r="I75">
        <f t="shared" ref="I75:I106" si="22">VLOOKUP(F75,$K$2:$M$186,3,FALSE)</f>
        <v>2</v>
      </c>
      <c r="J75" t="b">
        <f t="shared" si="18"/>
        <v>1</v>
      </c>
      <c r="K75" t="s">
        <v>414</v>
      </c>
      <c r="L75" t="s">
        <v>344</v>
      </c>
      <c r="M75">
        <v>1</v>
      </c>
      <c r="N75" t="str">
        <f t="shared" si="20"/>
        <v>ecoprd_sas</v>
      </c>
    </row>
    <row r="76" spans="1:14" x14ac:dyDescent="0.25">
      <c r="A76" s="30">
        <v>67</v>
      </c>
      <c r="B76" s="30" t="s">
        <v>158</v>
      </c>
      <c r="C76" s="30">
        <v>6</v>
      </c>
      <c r="D76" s="38" t="s">
        <v>70</v>
      </c>
      <c r="E76" s="30">
        <v>2</v>
      </c>
      <c r="F76" s="32" t="s">
        <v>268</v>
      </c>
      <c r="G76" t="str">
        <f t="shared" si="19"/>
        <v>IND27</v>
      </c>
      <c r="H76" t="str">
        <f t="shared" si="21"/>
        <v>C</v>
      </c>
      <c r="I76">
        <f t="shared" si="22"/>
        <v>2</v>
      </c>
      <c r="J76" t="b">
        <f t="shared" si="18"/>
        <v>1</v>
      </c>
      <c r="K76" s="45" t="s">
        <v>415</v>
      </c>
      <c r="L76" s="45" t="s">
        <v>344</v>
      </c>
      <c r="M76" s="45">
        <v>1</v>
      </c>
      <c r="N76" s="45" t="e">
        <f t="shared" si="20"/>
        <v>#N/A</v>
      </c>
    </row>
    <row r="77" spans="1:14" x14ac:dyDescent="0.25">
      <c r="A77" s="30">
        <v>68</v>
      </c>
      <c r="B77" s="30" t="s">
        <v>87</v>
      </c>
      <c r="C77" s="30">
        <v>6</v>
      </c>
      <c r="D77" s="38" t="s">
        <v>63</v>
      </c>
      <c r="E77" s="30">
        <v>2</v>
      </c>
      <c r="F77" s="32" t="s">
        <v>269</v>
      </c>
      <c r="G77" t="str">
        <f t="shared" si="19"/>
        <v>HR27</v>
      </c>
      <c r="H77" t="str">
        <f t="shared" si="21"/>
        <v>N</v>
      </c>
      <c r="I77">
        <f t="shared" si="22"/>
        <v>2</v>
      </c>
      <c r="J77" t="b">
        <f t="shared" si="18"/>
        <v>1</v>
      </c>
      <c r="K77" s="45" t="s">
        <v>416</v>
      </c>
      <c r="L77" s="45" t="s">
        <v>344</v>
      </c>
      <c r="M77" s="45">
        <v>1</v>
      </c>
      <c r="N77" s="45" t="e">
        <f t="shared" si="20"/>
        <v>#N/A</v>
      </c>
    </row>
    <row r="78" spans="1:14" x14ac:dyDescent="0.25">
      <c r="A78" s="30">
        <v>69</v>
      </c>
      <c r="B78" s="30" t="s">
        <v>72</v>
      </c>
      <c r="C78" s="30">
        <v>6</v>
      </c>
      <c r="D78" s="38" t="s">
        <v>66</v>
      </c>
      <c r="E78" s="30">
        <v>5</v>
      </c>
      <c r="F78" s="32" t="s">
        <v>270</v>
      </c>
      <c r="G78" t="str">
        <f t="shared" si="19"/>
        <v>ERN27</v>
      </c>
      <c r="H78" t="str">
        <f t="shared" si="21"/>
        <v>N</v>
      </c>
      <c r="I78">
        <f t="shared" si="22"/>
        <v>5</v>
      </c>
      <c r="J78" t="b">
        <f t="shared" si="18"/>
        <v>1</v>
      </c>
      <c r="K78" t="s">
        <v>417</v>
      </c>
      <c r="L78" t="s">
        <v>344</v>
      </c>
      <c r="M78">
        <v>1</v>
      </c>
      <c r="N78" t="str">
        <f t="shared" si="20"/>
        <v>wrk_365</v>
      </c>
    </row>
    <row r="79" spans="1:14" x14ac:dyDescent="0.25">
      <c r="A79" s="30">
        <v>70</v>
      </c>
      <c r="B79" s="30" t="s">
        <v>71</v>
      </c>
      <c r="C79" s="30">
        <v>6</v>
      </c>
      <c r="D79" s="38" t="s">
        <v>76</v>
      </c>
      <c r="E79" s="30">
        <v>2</v>
      </c>
      <c r="F79" s="32" t="s">
        <v>271</v>
      </c>
      <c r="G79" t="str">
        <f t="shared" si="19"/>
        <v>HR7</v>
      </c>
      <c r="H79" t="str">
        <f t="shared" si="21"/>
        <v>N</v>
      </c>
      <c r="I79">
        <f t="shared" si="22"/>
        <v>2</v>
      </c>
      <c r="J79" t="b">
        <f t="shared" si="18"/>
        <v>1</v>
      </c>
      <c r="K79" t="s">
        <v>418</v>
      </c>
      <c r="L79" t="s">
        <v>344</v>
      </c>
      <c r="M79">
        <v>1</v>
      </c>
      <c r="N79" t="str">
        <f t="shared" si="20"/>
        <v>dur_pas</v>
      </c>
    </row>
    <row r="80" spans="1:14" x14ac:dyDescent="0.25">
      <c r="A80" s="30">
        <v>71</v>
      </c>
      <c r="B80" s="30" t="s">
        <v>75</v>
      </c>
      <c r="C80" s="30">
        <v>6</v>
      </c>
      <c r="D80" s="38" t="s">
        <v>77</v>
      </c>
      <c r="E80" s="30">
        <v>2</v>
      </c>
      <c r="F80" s="32" t="s">
        <v>272</v>
      </c>
      <c r="G80" t="str">
        <f t="shared" si="19"/>
        <v>AHR7</v>
      </c>
      <c r="H80" t="str">
        <f t="shared" si="21"/>
        <v>N</v>
      </c>
      <c r="I80">
        <f t="shared" si="22"/>
        <v>2</v>
      </c>
      <c r="J80" t="b">
        <f t="shared" si="18"/>
        <v>1</v>
      </c>
      <c r="K80" t="s">
        <v>419</v>
      </c>
      <c r="L80" t="s">
        <v>344</v>
      </c>
      <c r="M80">
        <v>1</v>
      </c>
      <c r="N80" t="str">
        <f t="shared" si="20"/>
        <v>dur_sas</v>
      </c>
    </row>
    <row r="81" spans="1:14" x14ac:dyDescent="0.25">
      <c r="A81" s="30">
        <v>72</v>
      </c>
      <c r="B81" s="30" t="s">
        <v>61</v>
      </c>
      <c r="C81" s="30">
        <v>6</v>
      </c>
      <c r="D81" s="38" t="s">
        <v>79</v>
      </c>
      <c r="E81" s="30">
        <v>2</v>
      </c>
      <c r="F81" s="32" t="s">
        <v>273</v>
      </c>
      <c r="G81" t="str">
        <f t="shared" si="19"/>
        <v>DAS16</v>
      </c>
      <c r="H81" t="str">
        <f t="shared" si="21"/>
        <v>C</v>
      </c>
      <c r="I81">
        <f t="shared" si="22"/>
        <v>2</v>
      </c>
      <c r="J81" t="b">
        <f t="shared" si="18"/>
        <v>1</v>
      </c>
      <c r="K81" t="s">
        <v>420</v>
      </c>
      <c r="L81" t="s">
        <v>344</v>
      </c>
      <c r="M81">
        <v>1</v>
      </c>
      <c r="N81" t="str">
        <f t="shared" si="20"/>
        <v>eff_pas</v>
      </c>
    </row>
    <row r="82" spans="1:14" x14ac:dyDescent="0.25">
      <c r="A82" s="30">
        <v>73</v>
      </c>
      <c r="B82" s="30" t="s">
        <v>157</v>
      </c>
      <c r="C82" s="30">
        <v>6</v>
      </c>
      <c r="D82" s="38" t="s">
        <v>80</v>
      </c>
      <c r="E82" s="30">
        <v>2</v>
      </c>
      <c r="F82" s="32" t="s">
        <v>274</v>
      </c>
      <c r="G82" t="str">
        <f t="shared" si="19"/>
        <v>IND16</v>
      </c>
      <c r="H82" t="str">
        <f t="shared" si="21"/>
        <v>C</v>
      </c>
      <c r="I82">
        <f t="shared" si="22"/>
        <v>2</v>
      </c>
      <c r="J82" t="b">
        <f t="shared" si="18"/>
        <v>1</v>
      </c>
      <c r="K82" t="s">
        <v>421</v>
      </c>
      <c r="L82" t="s">
        <v>344</v>
      </c>
      <c r="M82">
        <v>1</v>
      </c>
      <c r="N82" t="str">
        <f t="shared" si="20"/>
        <v>dur_unp</v>
      </c>
    </row>
    <row r="83" spans="1:14" x14ac:dyDescent="0.25">
      <c r="A83" s="30">
        <v>74</v>
      </c>
      <c r="B83" s="30" t="s">
        <v>82</v>
      </c>
      <c r="C83" s="30">
        <v>6</v>
      </c>
      <c r="D83" s="38" t="s">
        <v>64</v>
      </c>
      <c r="E83" s="30">
        <v>2</v>
      </c>
      <c r="F83" s="32" t="s">
        <v>275</v>
      </c>
      <c r="G83" t="str">
        <f t="shared" si="19"/>
        <v>HR16</v>
      </c>
      <c r="H83" t="str">
        <f t="shared" si="21"/>
        <v>N</v>
      </c>
      <c r="I83">
        <f t="shared" si="22"/>
        <v>2</v>
      </c>
      <c r="J83" t="b">
        <f t="shared" si="18"/>
        <v>1</v>
      </c>
      <c r="K83" t="s">
        <v>422</v>
      </c>
      <c r="L83" t="s">
        <v>344</v>
      </c>
      <c r="M83">
        <v>1</v>
      </c>
      <c r="N83" t="str">
        <f t="shared" si="20"/>
        <v>evr_wrk</v>
      </c>
    </row>
    <row r="84" spans="1:14" x14ac:dyDescent="0.25">
      <c r="A84" s="30">
        <v>75</v>
      </c>
      <c r="B84" s="30" t="s">
        <v>73</v>
      </c>
      <c r="C84" s="30">
        <v>6</v>
      </c>
      <c r="D84" s="38" t="s">
        <v>65</v>
      </c>
      <c r="E84" s="30">
        <v>5</v>
      </c>
      <c r="F84" s="32" t="s">
        <v>276</v>
      </c>
      <c r="G84" t="str">
        <f t="shared" si="19"/>
        <v>ERN16</v>
      </c>
      <c r="H84" t="str">
        <f t="shared" si="21"/>
        <v>N</v>
      </c>
      <c r="I84">
        <f t="shared" si="22"/>
        <v>5</v>
      </c>
      <c r="J84" t="b">
        <f t="shared" si="18"/>
        <v>1</v>
      </c>
      <c r="K84" t="s">
        <v>423</v>
      </c>
      <c r="L84" t="s">
        <v>344</v>
      </c>
      <c r="M84">
        <v>2</v>
      </c>
      <c r="N84" t="str">
        <f t="shared" si="20"/>
        <v>rea_nw</v>
      </c>
    </row>
    <row r="85" spans="1:14" x14ac:dyDescent="0.25">
      <c r="A85" s="30">
        <v>76</v>
      </c>
      <c r="B85" s="30" t="s">
        <v>62</v>
      </c>
      <c r="C85" s="30">
        <v>6</v>
      </c>
      <c r="D85" s="38" t="s">
        <v>79</v>
      </c>
      <c r="E85" s="30">
        <v>2</v>
      </c>
      <c r="F85" s="32" t="s">
        <v>277</v>
      </c>
      <c r="G85" t="str">
        <f t="shared" si="19"/>
        <v>DAS26</v>
      </c>
      <c r="H85" t="str">
        <f t="shared" si="21"/>
        <v>C</v>
      </c>
      <c r="I85">
        <f t="shared" si="22"/>
        <v>2</v>
      </c>
      <c r="J85" t="b">
        <f t="shared" si="18"/>
        <v>1</v>
      </c>
      <c r="K85" t="s">
        <v>424</v>
      </c>
      <c r="L85" t="s">
        <v>344</v>
      </c>
      <c r="M85">
        <v>1</v>
      </c>
      <c r="N85" t="str">
        <f t="shared" si="20"/>
        <v>rea</v>
      </c>
    </row>
    <row r="86" spans="1:14" x14ac:dyDescent="0.25">
      <c r="A86" s="30">
        <v>77</v>
      </c>
      <c r="B86" s="30" t="s">
        <v>158</v>
      </c>
      <c r="C86" s="30">
        <v>6</v>
      </c>
      <c r="D86" s="38" t="s">
        <v>80</v>
      </c>
      <c r="E86" s="30">
        <v>2</v>
      </c>
      <c r="F86" s="32" t="s">
        <v>278</v>
      </c>
      <c r="G86" t="str">
        <f t="shared" si="19"/>
        <v>IND26</v>
      </c>
      <c r="H86" t="str">
        <f t="shared" si="21"/>
        <v>C</v>
      </c>
      <c r="I86">
        <f t="shared" si="22"/>
        <v>2</v>
      </c>
      <c r="J86" t="b">
        <f t="shared" si="18"/>
        <v>1</v>
      </c>
      <c r="K86" t="s">
        <v>425</v>
      </c>
      <c r="L86" t="s">
        <v>344</v>
      </c>
      <c r="M86">
        <v>2</v>
      </c>
      <c r="N86" t="str">
        <f t="shared" si="20"/>
        <v>das17</v>
      </c>
    </row>
    <row r="87" spans="1:14" x14ac:dyDescent="0.25">
      <c r="A87" s="30">
        <v>78</v>
      </c>
      <c r="B87" s="30" t="s">
        <v>83</v>
      </c>
      <c r="C87" s="30">
        <v>6</v>
      </c>
      <c r="D87" s="38" t="s">
        <v>64</v>
      </c>
      <c r="E87" s="30">
        <v>2</v>
      </c>
      <c r="F87" s="32" t="s">
        <v>279</v>
      </c>
      <c r="G87" t="str">
        <f t="shared" si="19"/>
        <v>HR26</v>
      </c>
      <c r="H87" t="str">
        <f t="shared" si="21"/>
        <v>N</v>
      </c>
      <c r="I87">
        <f t="shared" si="22"/>
        <v>2</v>
      </c>
      <c r="J87" t="b">
        <f t="shared" si="18"/>
        <v>1</v>
      </c>
      <c r="K87" t="s">
        <v>426</v>
      </c>
      <c r="L87" t="s">
        <v>344</v>
      </c>
      <c r="M87">
        <v>2</v>
      </c>
      <c r="N87" t="str">
        <f t="shared" si="20"/>
        <v>ind17</v>
      </c>
    </row>
    <row r="88" spans="1:14" x14ac:dyDescent="0.25">
      <c r="A88" s="30">
        <v>79</v>
      </c>
      <c r="B88" s="30" t="s">
        <v>84</v>
      </c>
      <c r="C88" s="30">
        <v>6</v>
      </c>
      <c r="D88" s="38" t="s">
        <v>65</v>
      </c>
      <c r="E88" s="30">
        <v>5</v>
      </c>
      <c r="F88" s="32" t="s">
        <v>280</v>
      </c>
      <c r="G88" t="str">
        <f t="shared" si="19"/>
        <v>ERN26</v>
      </c>
      <c r="H88" t="str">
        <f t="shared" si="21"/>
        <v>N</v>
      </c>
      <c r="I88">
        <f t="shared" si="22"/>
        <v>5</v>
      </c>
      <c r="J88" t="b">
        <f t="shared" si="18"/>
        <v>1</v>
      </c>
      <c r="K88" t="s">
        <v>427</v>
      </c>
      <c r="L88" t="s">
        <v>348</v>
      </c>
      <c r="M88">
        <v>2</v>
      </c>
      <c r="N88" t="str">
        <f t="shared" si="20"/>
        <v>hr17</v>
      </c>
    </row>
    <row r="89" spans="1:14" x14ac:dyDescent="0.25">
      <c r="A89" s="30">
        <v>80</v>
      </c>
      <c r="B89" s="30" t="s">
        <v>85</v>
      </c>
      <c r="C89" s="30">
        <v>6</v>
      </c>
      <c r="D89" s="38" t="s">
        <v>81</v>
      </c>
      <c r="E89" s="30">
        <v>2</v>
      </c>
      <c r="F89" s="32" t="s">
        <v>281</v>
      </c>
      <c r="G89" t="str">
        <f t="shared" si="19"/>
        <v>HR6</v>
      </c>
      <c r="H89" t="str">
        <f t="shared" si="21"/>
        <v>N</v>
      </c>
      <c r="I89">
        <f t="shared" si="22"/>
        <v>2</v>
      </c>
      <c r="J89" t="b">
        <f t="shared" si="18"/>
        <v>1</v>
      </c>
      <c r="K89" t="s">
        <v>428</v>
      </c>
      <c r="L89" t="s">
        <v>348</v>
      </c>
      <c r="M89">
        <v>5</v>
      </c>
      <c r="N89" t="str">
        <f t="shared" si="20"/>
        <v>ern17</v>
      </c>
    </row>
    <row r="90" spans="1:14" x14ac:dyDescent="0.25">
      <c r="A90" s="30">
        <v>81</v>
      </c>
      <c r="B90" s="30" t="s">
        <v>86</v>
      </c>
      <c r="C90" s="30">
        <v>6</v>
      </c>
      <c r="D90" s="38" t="s">
        <v>78</v>
      </c>
      <c r="E90" s="30">
        <v>2</v>
      </c>
      <c r="F90" s="32" t="s">
        <v>282</v>
      </c>
      <c r="G90" t="str">
        <f t="shared" si="19"/>
        <v>AHR6</v>
      </c>
      <c r="H90" t="str">
        <f t="shared" si="21"/>
        <v>N</v>
      </c>
      <c r="I90">
        <f t="shared" si="22"/>
        <v>2</v>
      </c>
      <c r="J90" t="b">
        <f t="shared" si="18"/>
        <v>1</v>
      </c>
      <c r="K90" t="s">
        <v>429</v>
      </c>
      <c r="L90" t="s">
        <v>344</v>
      </c>
      <c r="M90">
        <v>2</v>
      </c>
      <c r="N90" t="str">
        <f t="shared" si="20"/>
        <v>das27</v>
      </c>
    </row>
    <row r="91" spans="1:14" x14ac:dyDescent="0.25">
      <c r="A91" s="30">
        <v>82</v>
      </c>
      <c r="B91" s="30" t="s">
        <v>61</v>
      </c>
      <c r="C91" s="30">
        <v>6</v>
      </c>
      <c r="D91" s="38" t="s">
        <v>88</v>
      </c>
      <c r="E91" s="30">
        <v>2</v>
      </c>
      <c r="F91" s="32" t="s">
        <v>283</v>
      </c>
      <c r="G91" t="str">
        <f t="shared" si="19"/>
        <v>DAS15</v>
      </c>
      <c r="H91" t="str">
        <f t="shared" si="21"/>
        <v>C</v>
      </c>
      <c r="I91">
        <f t="shared" si="22"/>
        <v>2</v>
      </c>
      <c r="J91" t="b">
        <f t="shared" si="18"/>
        <v>1</v>
      </c>
      <c r="K91" t="s">
        <v>430</v>
      </c>
      <c r="L91" t="s">
        <v>344</v>
      </c>
      <c r="M91">
        <v>2</v>
      </c>
      <c r="N91" t="str">
        <f t="shared" si="20"/>
        <v>ind27</v>
      </c>
    </row>
    <row r="92" spans="1:14" x14ac:dyDescent="0.25">
      <c r="A92" s="30">
        <v>83</v>
      </c>
      <c r="B92" s="30" t="s">
        <v>157</v>
      </c>
      <c r="C92" s="30">
        <v>6</v>
      </c>
      <c r="D92" s="38" t="s">
        <v>89</v>
      </c>
      <c r="E92" s="30">
        <v>2</v>
      </c>
      <c r="F92" s="32" t="s">
        <v>284</v>
      </c>
      <c r="G92" t="str">
        <f t="shared" si="19"/>
        <v>IND15</v>
      </c>
      <c r="H92" t="str">
        <f t="shared" si="21"/>
        <v>C</v>
      </c>
      <c r="I92">
        <f t="shared" si="22"/>
        <v>2</v>
      </c>
      <c r="J92" t="b">
        <f t="shared" si="18"/>
        <v>1</v>
      </c>
      <c r="K92" t="s">
        <v>431</v>
      </c>
      <c r="L92" t="s">
        <v>348</v>
      </c>
      <c r="M92">
        <v>2</v>
      </c>
      <c r="N92" t="str">
        <f t="shared" si="20"/>
        <v>hr27</v>
      </c>
    </row>
    <row r="93" spans="1:14" x14ac:dyDescent="0.25">
      <c r="A93" s="30">
        <v>84</v>
      </c>
      <c r="B93" s="30" t="s">
        <v>94</v>
      </c>
      <c r="C93" s="30">
        <v>6</v>
      </c>
      <c r="D93" s="38" t="s">
        <v>90</v>
      </c>
      <c r="E93" s="30">
        <v>2</v>
      </c>
      <c r="F93" s="32" t="s">
        <v>285</v>
      </c>
      <c r="G93" t="str">
        <f t="shared" si="19"/>
        <v>HR15</v>
      </c>
      <c r="H93" t="str">
        <f t="shared" si="21"/>
        <v>N</v>
      </c>
      <c r="I93">
        <f t="shared" si="22"/>
        <v>2</v>
      </c>
      <c r="J93" t="b">
        <f t="shared" si="18"/>
        <v>1</v>
      </c>
      <c r="K93" t="s">
        <v>432</v>
      </c>
      <c r="L93" t="s">
        <v>348</v>
      </c>
      <c r="M93">
        <v>5</v>
      </c>
      <c r="N93" t="str">
        <f t="shared" si="20"/>
        <v>ern27</v>
      </c>
    </row>
    <row r="94" spans="1:14" x14ac:dyDescent="0.25">
      <c r="A94" s="30">
        <v>85</v>
      </c>
      <c r="B94" s="30" t="s">
        <v>95</v>
      </c>
      <c r="C94" s="30">
        <v>6</v>
      </c>
      <c r="D94" s="38" t="s">
        <v>91</v>
      </c>
      <c r="E94" s="30">
        <v>5</v>
      </c>
      <c r="F94" s="32" t="s">
        <v>286</v>
      </c>
      <c r="G94" t="str">
        <f t="shared" si="19"/>
        <v>ERN15</v>
      </c>
      <c r="H94" t="str">
        <f t="shared" si="21"/>
        <v>N</v>
      </c>
      <c r="I94">
        <f t="shared" si="22"/>
        <v>5</v>
      </c>
      <c r="J94" t="b">
        <f t="shared" si="18"/>
        <v>1</v>
      </c>
      <c r="K94" t="s">
        <v>433</v>
      </c>
      <c r="L94" t="s">
        <v>348</v>
      </c>
      <c r="M94">
        <v>2</v>
      </c>
      <c r="N94" t="str">
        <f t="shared" si="20"/>
        <v>hr7</v>
      </c>
    </row>
    <row r="95" spans="1:14" x14ac:dyDescent="0.25">
      <c r="A95" s="30">
        <v>86</v>
      </c>
      <c r="B95" s="30" t="s">
        <v>62</v>
      </c>
      <c r="C95" s="30">
        <v>6</v>
      </c>
      <c r="D95" s="38" t="s">
        <v>88</v>
      </c>
      <c r="E95" s="30">
        <v>2</v>
      </c>
      <c r="F95" s="32" t="s">
        <v>287</v>
      </c>
      <c r="G95" t="str">
        <f t="shared" si="19"/>
        <v>DAS25</v>
      </c>
      <c r="H95" t="str">
        <f t="shared" si="21"/>
        <v>C</v>
      </c>
      <c r="I95">
        <f t="shared" si="22"/>
        <v>2</v>
      </c>
      <c r="J95" t="b">
        <f t="shared" si="18"/>
        <v>1</v>
      </c>
      <c r="K95" t="s">
        <v>434</v>
      </c>
      <c r="L95" t="s">
        <v>348</v>
      </c>
      <c r="M95">
        <v>2</v>
      </c>
      <c r="N95" t="str">
        <f t="shared" si="20"/>
        <v>ahr7</v>
      </c>
    </row>
    <row r="96" spans="1:14" x14ac:dyDescent="0.25">
      <c r="A96" s="30">
        <v>87</v>
      </c>
      <c r="B96" s="30" t="s">
        <v>158</v>
      </c>
      <c r="C96" s="30">
        <v>6</v>
      </c>
      <c r="D96" s="38" t="s">
        <v>89</v>
      </c>
      <c r="E96" s="30">
        <v>2</v>
      </c>
      <c r="F96" s="32" t="s">
        <v>288</v>
      </c>
      <c r="G96" t="str">
        <f t="shared" si="19"/>
        <v>IND25</v>
      </c>
      <c r="H96" t="str">
        <f t="shared" si="21"/>
        <v>C</v>
      </c>
      <c r="I96">
        <f t="shared" si="22"/>
        <v>2</v>
      </c>
      <c r="J96" t="b">
        <f t="shared" si="18"/>
        <v>1</v>
      </c>
      <c r="K96" t="s">
        <v>435</v>
      </c>
      <c r="L96" t="s">
        <v>344</v>
      </c>
      <c r="M96">
        <v>2</v>
      </c>
      <c r="N96" t="str">
        <f t="shared" si="20"/>
        <v>das16</v>
      </c>
    </row>
    <row r="97" spans="1:14" x14ac:dyDescent="0.25">
      <c r="A97" s="30">
        <v>88</v>
      </c>
      <c r="B97" s="30" t="s">
        <v>96</v>
      </c>
      <c r="C97" s="30">
        <v>6</v>
      </c>
      <c r="D97" s="38" t="s">
        <v>90</v>
      </c>
      <c r="E97" s="30">
        <v>2</v>
      </c>
      <c r="F97" s="32" t="s">
        <v>289</v>
      </c>
      <c r="G97" t="str">
        <f t="shared" si="19"/>
        <v>HR25</v>
      </c>
      <c r="H97" t="str">
        <f t="shared" si="21"/>
        <v>N</v>
      </c>
      <c r="I97">
        <f t="shared" si="22"/>
        <v>2</v>
      </c>
      <c r="J97" t="b">
        <f t="shared" si="18"/>
        <v>1</v>
      </c>
      <c r="K97" t="s">
        <v>436</v>
      </c>
      <c r="L97" t="s">
        <v>344</v>
      </c>
      <c r="M97">
        <v>2</v>
      </c>
      <c r="N97" t="str">
        <f t="shared" si="20"/>
        <v>ind16</v>
      </c>
    </row>
    <row r="98" spans="1:14" x14ac:dyDescent="0.25">
      <c r="A98" s="30">
        <v>89</v>
      </c>
      <c r="B98" s="30" t="s">
        <v>97</v>
      </c>
      <c r="C98" s="30">
        <v>6</v>
      </c>
      <c r="D98" s="38" t="s">
        <v>91</v>
      </c>
      <c r="E98" s="30">
        <v>5</v>
      </c>
      <c r="F98" s="32" t="s">
        <v>290</v>
      </c>
      <c r="G98" t="str">
        <f t="shared" si="19"/>
        <v>ERN25</v>
      </c>
      <c r="H98" t="str">
        <f t="shared" si="21"/>
        <v>N</v>
      </c>
      <c r="I98">
        <f t="shared" si="22"/>
        <v>5</v>
      </c>
      <c r="J98" t="b">
        <f t="shared" si="18"/>
        <v>1</v>
      </c>
      <c r="K98" t="s">
        <v>437</v>
      </c>
      <c r="L98" t="s">
        <v>348</v>
      </c>
      <c r="M98">
        <v>2</v>
      </c>
      <c r="N98" t="str">
        <f t="shared" si="20"/>
        <v>hr16</v>
      </c>
    </row>
    <row r="99" spans="1:14" x14ac:dyDescent="0.25">
      <c r="A99" s="30">
        <v>90</v>
      </c>
      <c r="B99" s="30" t="s">
        <v>98</v>
      </c>
      <c r="C99" s="30">
        <v>6</v>
      </c>
      <c r="D99" s="38" t="s">
        <v>92</v>
      </c>
      <c r="E99" s="30">
        <v>2</v>
      </c>
      <c r="F99" s="32" t="s">
        <v>291</v>
      </c>
      <c r="G99" t="str">
        <f t="shared" si="19"/>
        <v>HR5</v>
      </c>
      <c r="H99" t="str">
        <f t="shared" si="21"/>
        <v>N</v>
      </c>
      <c r="I99">
        <f t="shared" si="22"/>
        <v>2</v>
      </c>
      <c r="J99" t="b">
        <f t="shared" si="18"/>
        <v>1</v>
      </c>
      <c r="K99" t="s">
        <v>438</v>
      </c>
      <c r="L99" t="s">
        <v>348</v>
      </c>
      <c r="M99">
        <v>5</v>
      </c>
      <c r="N99" t="str">
        <f t="shared" si="20"/>
        <v>ern16</v>
      </c>
    </row>
    <row r="100" spans="1:14" x14ac:dyDescent="0.25">
      <c r="A100" s="30">
        <v>91</v>
      </c>
      <c r="B100" s="30" t="s">
        <v>99</v>
      </c>
      <c r="C100" s="30">
        <v>6</v>
      </c>
      <c r="D100" s="38" t="s">
        <v>93</v>
      </c>
      <c r="E100" s="30">
        <v>2</v>
      </c>
      <c r="F100" s="32" t="s">
        <v>292</v>
      </c>
      <c r="G100" t="str">
        <f t="shared" si="19"/>
        <v>AHR5</v>
      </c>
      <c r="H100" t="str">
        <f t="shared" si="21"/>
        <v>N</v>
      </c>
      <c r="I100">
        <f t="shared" si="22"/>
        <v>2</v>
      </c>
      <c r="J100" t="b">
        <f t="shared" si="18"/>
        <v>1</v>
      </c>
      <c r="K100" t="s">
        <v>439</v>
      </c>
      <c r="L100" t="s">
        <v>344</v>
      </c>
      <c r="M100">
        <v>2</v>
      </c>
      <c r="N100" t="str">
        <f t="shared" si="20"/>
        <v>das26</v>
      </c>
    </row>
    <row r="101" spans="1:14" x14ac:dyDescent="0.25">
      <c r="A101" s="30">
        <v>92</v>
      </c>
      <c r="B101" s="30" t="s">
        <v>61</v>
      </c>
      <c r="C101" s="30">
        <v>6</v>
      </c>
      <c r="D101" s="38" t="s">
        <v>100</v>
      </c>
      <c r="E101" s="30">
        <v>2</v>
      </c>
      <c r="F101" s="32" t="s">
        <v>293</v>
      </c>
      <c r="G101" t="str">
        <f t="shared" ref="G101:G132" si="23">VLOOKUP(F101,$K$2:$M$186,1,FALSE)</f>
        <v>DAS14</v>
      </c>
      <c r="H101" t="str">
        <f t="shared" si="21"/>
        <v>C</v>
      </c>
      <c r="I101">
        <f t="shared" si="22"/>
        <v>2</v>
      </c>
      <c r="J101" t="b">
        <f t="shared" si="18"/>
        <v>1</v>
      </c>
      <c r="K101" t="s">
        <v>440</v>
      </c>
      <c r="L101" t="s">
        <v>344</v>
      </c>
      <c r="M101">
        <v>2</v>
      </c>
      <c r="N101" t="str">
        <f t="shared" si="20"/>
        <v>ind26</v>
      </c>
    </row>
    <row r="102" spans="1:14" x14ac:dyDescent="0.25">
      <c r="A102" s="30">
        <v>93</v>
      </c>
      <c r="B102" s="30" t="s">
        <v>157</v>
      </c>
      <c r="C102" s="30">
        <v>6</v>
      </c>
      <c r="D102" s="38" t="s">
        <v>101</v>
      </c>
      <c r="E102" s="30">
        <v>2</v>
      </c>
      <c r="F102" s="32" t="s">
        <v>294</v>
      </c>
      <c r="G102" t="str">
        <f t="shared" si="23"/>
        <v>IND14</v>
      </c>
      <c r="H102" t="str">
        <f t="shared" si="21"/>
        <v>C</v>
      </c>
      <c r="I102">
        <f t="shared" si="22"/>
        <v>2</v>
      </c>
      <c r="J102" t="b">
        <f t="shared" si="18"/>
        <v>1</v>
      </c>
      <c r="K102" t="s">
        <v>441</v>
      </c>
      <c r="L102" t="s">
        <v>348</v>
      </c>
      <c r="M102">
        <v>2</v>
      </c>
      <c r="N102" t="str">
        <f t="shared" si="20"/>
        <v>hr26</v>
      </c>
    </row>
    <row r="103" spans="1:14" x14ac:dyDescent="0.25">
      <c r="A103" s="30">
        <v>94</v>
      </c>
      <c r="B103" s="30" t="s">
        <v>106</v>
      </c>
      <c r="C103" s="30">
        <v>6</v>
      </c>
      <c r="D103" s="38" t="s">
        <v>102</v>
      </c>
      <c r="E103" s="30">
        <v>2</v>
      </c>
      <c r="F103" s="32" t="s">
        <v>295</v>
      </c>
      <c r="G103" t="str">
        <f t="shared" si="23"/>
        <v>HR14</v>
      </c>
      <c r="H103" t="str">
        <f t="shared" si="21"/>
        <v>N</v>
      </c>
      <c r="I103">
        <f t="shared" si="22"/>
        <v>2</v>
      </c>
      <c r="J103" t="b">
        <f t="shared" si="18"/>
        <v>1</v>
      </c>
      <c r="K103" t="s">
        <v>442</v>
      </c>
      <c r="L103" t="s">
        <v>348</v>
      </c>
      <c r="M103">
        <v>5</v>
      </c>
      <c r="N103" t="str">
        <f t="shared" si="20"/>
        <v>ern26</v>
      </c>
    </row>
    <row r="104" spans="1:14" x14ac:dyDescent="0.25">
      <c r="A104" s="30">
        <v>95</v>
      </c>
      <c r="B104" s="30" t="s">
        <v>108</v>
      </c>
      <c r="C104" s="30">
        <v>6</v>
      </c>
      <c r="D104" s="38" t="s">
        <v>103</v>
      </c>
      <c r="E104" s="30">
        <v>5</v>
      </c>
      <c r="F104" s="32" t="s">
        <v>296</v>
      </c>
      <c r="G104" t="str">
        <f t="shared" si="23"/>
        <v>ERN14</v>
      </c>
      <c r="H104" t="str">
        <f t="shared" si="21"/>
        <v>N</v>
      </c>
      <c r="I104">
        <f t="shared" si="22"/>
        <v>5</v>
      </c>
      <c r="J104" t="b">
        <f t="shared" si="18"/>
        <v>1</v>
      </c>
      <c r="K104" t="s">
        <v>443</v>
      </c>
      <c r="L104" t="s">
        <v>348</v>
      </c>
      <c r="M104">
        <v>2</v>
      </c>
      <c r="N104" t="str">
        <f t="shared" si="20"/>
        <v>hr6</v>
      </c>
    </row>
    <row r="105" spans="1:14" x14ac:dyDescent="0.25">
      <c r="A105" s="30">
        <v>96</v>
      </c>
      <c r="B105" s="30" t="s">
        <v>62</v>
      </c>
      <c r="C105" s="30">
        <v>6</v>
      </c>
      <c r="D105" s="38" t="s">
        <v>100</v>
      </c>
      <c r="E105" s="30">
        <v>2</v>
      </c>
      <c r="F105" s="32" t="s">
        <v>297</v>
      </c>
      <c r="G105" t="str">
        <f t="shared" si="23"/>
        <v>DAS24</v>
      </c>
      <c r="H105" t="str">
        <f t="shared" si="21"/>
        <v>C</v>
      </c>
      <c r="I105">
        <f t="shared" si="22"/>
        <v>2</v>
      </c>
      <c r="J105" t="b">
        <f t="shared" si="18"/>
        <v>1</v>
      </c>
      <c r="K105" t="s">
        <v>444</v>
      </c>
      <c r="L105" t="s">
        <v>348</v>
      </c>
      <c r="M105">
        <v>2</v>
      </c>
      <c r="N105" t="str">
        <f t="shared" si="20"/>
        <v>ahr6</v>
      </c>
    </row>
    <row r="106" spans="1:14" x14ac:dyDescent="0.25">
      <c r="A106" s="30">
        <v>97</v>
      </c>
      <c r="B106" s="30" t="s">
        <v>158</v>
      </c>
      <c r="C106" s="30">
        <v>6</v>
      </c>
      <c r="D106" s="38" t="s">
        <v>101</v>
      </c>
      <c r="E106" s="30">
        <v>2</v>
      </c>
      <c r="F106" s="32" t="s">
        <v>298</v>
      </c>
      <c r="G106" t="str">
        <f t="shared" si="23"/>
        <v>IND24</v>
      </c>
      <c r="H106" t="str">
        <f t="shared" si="21"/>
        <v>C</v>
      </c>
      <c r="I106">
        <f t="shared" si="22"/>
        <v>2</v>
      </c>
      <c r="J106" t="b">
        <f t="shared" si="18"/>
        <v>1</v>
      </c>
      <c r="K106" t="s">
        <v>445</v>
      </c>
      <c r="L106" t="s">
        <v>344</v>
      </c>
      <c r="M106">
        <v>2</v>
      </c>
      <c r="N106" t="str">
        <f t="shared" ref="N106:N140" si="24">VLOOKUP(K106,$F$2:$F$151,1,FALSE)</f>
        <v>das15</v>
      </c>
    </row>
    <row r="107" spans="1:14" x14ac:dyDescent="0.25">
      <c r="A107" s="30">
        <v>98</v>
      </c>
      <c r="B107" s="30" t="s">
        <v>107</v>
      </c>
      <c r="C107" s="30">
        <v>6</v>
      </c>
      <c r="D107" s="38" t="s">
        <v>102</v>
      </c>
      <c r="E107" s="30">
        <v>2</v>
      </c>
      <c r="F107" s="32" t="s">
        <v>299</v>
      </c>
      <c r="G107" t="str">
        <f t="shared" si="23"/>
        <v>HR24</v>
      </c>
      <c r="H107" t="str">
        <f t="shared" ref="H107:H140" si="25">VLOOKUP(F107,$K$2:$M$186,2,FALSE)</f>
        <v>N</v>
      </c>
      <c r="I107">
        <f t="shared" ref="I107:I140" si="26">VLOOKUP(F107,$K$2:$M$186,3,FALSE)</f>
        <v>2</v>
      </c>
      <c r="J107" t="b">
        <f t="shared" si="18"/>
        <v>1</v>
      </c>
      <c r="K107" t="s">
        <v>446</v>
      </c>
      <c r="L107" t="s">
        <v>344</v>
      </c>
      <c r="M107">
        <v>2</v>
      </c>
      <c r="N107" t="str">
        <f t="shared" si="24"/>
        <v>ind15</v>
      </c>
    </row>
    <row r="108" spans="1:14" x14ac:dyDescent="0.25">
      <c r="A108" s="30">
        <v>99</v>
      </c>
      <c r="B108" s="30" t="s">
        <v>109</v>
      </c>
      <c r="C108" s="30">
        <v>6</v>
      </c>
      <c r="D108" s="38" t="s">
        <v>103</v>
      </c>
      <c r="E108" s="30">
        <v>5</v>
      </c>
      <c r="F108" s="32" t="s">
        <v>300</v>
      </c>
      <c r="G108" t="str">
        <f t="shared" si="23"/>
        <v>ERN24</v>
      </c>
      <c r="H108" t="str">
        <f t="shared" si="25"/>
        <v>N</v>
      </c>
      <c r="I108">
        <f t="shared" si="26"/>
        <v>5</v>
      </c>
      <c r="J108" t="b">
        <f t="shared" si="18"/>
        <v>1</v>
      </c>
      <c r="K108" t="s">
        <v>447</v>
      </c>
      <c r="L108" t="s">
        <v>348</v>
      </c>
      <c r="M108">
        <v>2</v>
      </c>
      <c r="N108" t="str">
        <f t="shared" si="24"/>
        <v>hr15</v>
      </c>
    </row>
    <row r="109" spans="1:14" x14ac:dyDescent="0.25">
      <c r="A109" s="30">
        <v>100</v>
      </c>
      <c r="B109" s="30" t="s">
        <v>110</v>
      </c>
      <c r="C109" s="30">
        <v>6</v>
      </c>
      <c r="D109" s="38" t="s">
        <v>104</v>
      </c>
      <c r="E109" s="30">
        <v>2</v>
      </c>
      <c r="F109" s="32" t="s">
        <v>301</v>
      </c>
      <c r="G109" t="str">
        <f t="shared" si="23"/>
        <v>HR4</v>
      </c>
      <c r="H109" t="str">
        <f t="shared" si="25"/>
        <v>N</v>
      </c>
      <c r="I109">
        <f t="shared" si="26"/>
        <v>2</v>
      </c>
      <c r="J109" t="b">
        <f t="shared" si="18"/>
        <v>1</v>
      </c>
      <c r="K109" t="s">
        <v>448</v>
      </c>
      <c r="L109" t="s">
        <v>348</v>
      </c>
      <c r="M109">
        <v>5</v>
      </c>
      <c r="N109" t="str">
        <f t="shared" si="24"/>
        <v>ern15</v>
      </c>
    </row>
    <row r="110" spans="1:14" x14ac:dyDescent="0.25">
      <c r="A110" s="30">
        <v>101</v>
      </c>
      <c r="B110" s="30" t="s">
        <v>111</v>
      </c>
      <c r="C110" s="30">
        <v>6</v>
      </c>
      <c r="D110" s="38" t="s">
        <v>105</v>
      </c>
      <c r="E110" s="30">
        <v>2</v>
      </c>
      <c r="F110" s="32" t="s">
        <v>302</v>
      </c>
      <c r="G110" t="str">
        <f t="shared" si="23"/>
        <v>AHR4</v>
      </c>
      <c r="H110" t="str">
        <f t="shared" si="25"/>
        <v>N</v>
      </c>
      <c r="I110">
        <f t="shared" si="26"/>
        <v>2</v>
      </c>
      <c r="J110" t="b">
        <f t="shared" si="18"/>
        <v>1</v>
      </c>
      <c r="K110" t="s">
        <v>449</v>
      </c>
      <c r="L110" t="s">
        <v>344</v>
      </c>
      <c r="M110">
        <v>2</v>
      </c>
      <c r="N110" t="str">
        <f t="shared" si="24"/>
        <v>das25</v>
      </c>
    </row>
    <row r="111" spans="1:14" x14ac:dyDescent="0.25">
      <c r="A111" s="30">
        <v>102</v>
      </c>
      <c r="B111" s="30" t="s">
        <v>61</v>
      </c>
      <c r="C111" s="30">
        <v>6</v>
      </c>
      <c r="D111" s="38" t="s">
        <v>112</v>
      </c>
      <c r="E111" s="30">
        <v>2</v>
      </c>
      <c r="F111" s="32" t="s">
        <v>303</v>
      </c>
      <c r="G111" t="str">
        <f t="shared" si="23"/>
        <v>DAS13</v>
      </c>
      <c r="H111" t="str">
        <f t="shared" si="25"/>
        <v>C</v>
      </c>
      <c r="I111">
        <f t="shared" si="26"/>
        <v>2</v>
      </c>
      <c r="J111" t="b">
        <f t="shared" si="18"/>
        <v>1</v>
      </c>
      <c r="K111" t="s">
        <v>450</v>
      </c>
      <c r="L111" t="s">
        <v>344</v>
      </c>
      <c r="M111">
        <v>2</v>
      </c>
      <c r="N111" t="str">
        <f t="shared" si="24"/>
        <v>ind25</v>
      </c>
    </row>
    <row r="112" spans="1:14" x14ac:dyDescent="0.25">
      <c r="A112" s="30">
        <v>103</v>
      </c>
      <c r="B112" s="30" t="s">
        <v>157</v>
      </c>
      <c r="C112" s="30">
        <v>6</v>
      </c>
      <c r="D112" s="38" t="s">
        <v>113</v>
      </c>
      <c r="E112" s="30">
        <v>2</v>
      </c>
      <c r="F112" s="32" t="s">
        <v>304</v>
      </c>
      <c r="G112" t="str">
        <f t="shared" si="23"/>
        <v>IND13</v>
      </c>
      <c r="H112" t="str">
        <f t="shared" si="25"/>
        <v>C</v>
      </c>
      <c r="I112">
        <f t="shared" si="26"/>
        <v>2</v>
      </c>
      <c r="J112" t="b">
        <f t="shared" si="18"/>
        <v>1</v>
      </c>
      <c r="K112" t="s">
        <v>451</v>
      </c>
      <c r="L112" t="s">
        <v>348</v>
      </c>
      <c r="M112">
        <v>2</v>
      </c>
      <c r="N112" t="str">
        <f t="shared" si="24"/>
        <v>hr25</v>
      </c>
    </row>
    <row r="113" spans="1:14" x14ac:dyDescent="0.25">
      <c r="A113" s="30">
        <v>104</v>
      </c>
      <c r="B113" s="30" t="s">
        <v>118</v>
      </c>
      <c r="C113" s="30">
        <v>6</v>
      </c>
      <c r="D113" s="38" t="s">
        <v>114</v>
      </c>
      <c r="E113" s="30">
        <v>2</v>
      </c>
      <c r="F113" s="32" t="s">
        <v>305</v>
      </c>
      <c r="G113" t="str">
        <f t="shared" si="23"/>
        <v>HR13</v>
      </c>
      <c r="H113" t="str">
        <f t="shared" si="25"/>
        <v>N</v>
      </c>
      <c r="I113">
        <f t="shared" si="26"/>
        <v>2</v>
      </c>
      <c r="J113" t="b">
        <f t="shared" si="18"/>
        <v>1</v>
      </c>
      <c r="K113" t="s">
        <v>452</v>
      </c>
      <c r="L113" t="s">
        <v>348</v>
      </c>
      <c r="M113">
        <v>5</v>
      </c>
      <c r="N113" t="str">
        <f t="shared" si="24"/>
        <v>ern25</v>
      </c>
    </row>
    <row r="114" spans="1:14" x14ac:dyDescent="0.25">
      <c r="A114" s="30">
        <v>105</v>
      </c>
      <c r="B114" s="30" t="s">
        <v>119</v>
      </c>
      <c r="C114" s="30">
        <v>6</v>
      </c>
      <c r="D114" s="38" t="s">
        <v>115</v>
      </c>
      <c r="E114" s="30">
        <v>5</v>
      </c>
      <c r="F114" s="32" t="s">
        <v>306</v>
      </c>
      <c r="G114" t="str">
        <f t="shared" si="23"/>
        <v>ERN13</v>
      </c>
      <c r="H114" t="str">
        <f t="shared" si="25"/>
        <v>N</v>
      </c>
      <c r="I114">
        <f t="shared" si="26"/>
        <v>5</v>
      </c>
      <c r="J114" t="b">
        <f t="shared" si="18"/>
        <v>1</v>
      </c>
      <c r="K114" t="s">
        <v>453</v>
      </c>
      <c r="L114" t="s">
        <v>348</v>
      </c>
      <c r="M114">
        <v>2</v>
      </c>
      <c r="N114" t="str">
        <f t="shared" si="24"/>
        <v>hr5</v>
      </c>
    </row>
    <row r="115" spans="1:14" x14ac:dyDescent="0.25">
      <c r="A115" s="30">
        <v>106</v>
      </c>
      <c r="B115" s="30" t="s">
        <v>62</v>
      </c>
      <c r="C115" s="30">
        <v>6</v>
      </c>
      <c r="D115" s="38" t="s">
        <v>112</v>
      </c>
      <c r="E115" s="30">
        <v>2</v>
      </c>
      <c r="F115" s="32" t="s">
        <v>307</v>
      </c>
      <c r="G115" t="str">
        <f t="shared" si="23"/>
        <v>DAS23</v>
      </c>
      <c r="H115" t="str">
        <f t="shared" si="25"/>
        <v>C</v>
      </c>
      <c r="I115">
        <f t="shared" si="26"/>
        <v>2</v>
      </c>
      <c r="J115" t="b">
        <f t="shared" si="18"/>
        <v>1</v>
      </c>
      <c r="K115" t="s">
        <v>454</v>
      </c>
      <c r="L115" t="s">
        <v>348</v>
      </c>
      <c r="M115">
        <v>2</v>
      </c>
      <c r="N115" t="str">
        <f t="shared" si="24"/>
        <v>ahr5</v>
      </c>
    </row>
    <row r="116" spans="1:14" x14ac:dyDescent="0.25">
      <c r="A116" s="30">
        <v>107</v>
      </c>
      <c r="B116" s="30" t="s">
        <v>158</v>
      </c>
      <c r="C116" s="30">
        <v>6</v>
      </c>
      <c r="D116" s="38" t="s">
        <v>113</v>
      </c>
      <c r="E116" s="30">
        <v>2</v>
      </c>
      <c r="F116" s="32" t="s">
        <v>308</v>
      </c>
      <c r="G116" t="str">
        <f t="shared" si="23"/>
        <v>IND23</v>
      </c>
      <c r="H116" t="str">
        <f t="shared" si="25"/>
        <v>C</v>
      </c>
      <c r="I116">
        <f t="shared" si="26"/>
        <v>2</v>
      </c>
      <c r="J116" t="b">
        <f t="shared" si="18"/>
        <v>1</v>
      </c>
      <c r="K116" t="s">
        <v>455</v>
      </c>
      <c r="L116" t="s">
        <v>344</v>
      </c>
      <c r="M116">
        <v>2</v>
      </c>
      <c r="N116" t="str">
        <f t="shared" si="24"/>
        <v>das14</v>
      </c>
    </row>
    <row r="117" spans="1:14" x14ac:dyDescent="0.25">
      <c r="A117" s="30">
        <v>108</v>
      </c>
      <c r="B117" s="30" t="s">
        <v>120</v>
      </c>
      <c r="C117" s="30">
        <v>6</v>
      </c>
      <c r="D117" s="38" t="s">
        <v>114</v>
      </c>
      <c r="E117" s="30">
        <v>2</v>
      </c>
      <c r="F117" s="32" t="s">
        <v>309</v>
      </c>
      <c r="G117" t="str">
        <f t="shared" si="23"/>
        <v>HR23</v>
      </c>
      <c r="H117" t="str">
        <f t="shared" si="25"/>
        <v>N</v>
      </c>
      <c r="I117">
        <f t="shared" si="26"/>
        <v>2</v>
      </c>
      <c r="J117" t="b">
        <f t="shared" si="18"/>
        <v>1</v>
      </c>
      <c r="K117" t="s">
        <v>456</v>
      </c>
      <c r="L117" t="s">
        <v>344</v>
      </c>
      <c r="M117">
        <v>2</v>
      </c>
      <c r="N117" t="str">
        <f t="shared" si="24"/>
        <v>ind14</v>
      </c>
    </row>
    <row r="118" spans="1:14" x14ac:dyDescent="0.25">
      <c r="A118" s="30">
        <v>109</v>
      </c>
      <c r="B118" s="30" t="s">
        <v>121</v>
      </c>
      <c r="C118" s="30">
        <v>6</v>
      </c>
      <c r="D118" s="38" t="s">
        <v>115</v>
      </c>
      <c r="E118" s="30">
        <v>5</v>
      </c>
      <c r="F118" s="32" t="s">
        <v>310</v>
      </c>
      <c r="G118" t="str">
        <f t="shared" si="23"/>
        <v>ERN23</v>
      </c>
      <c r="H118" t="str">
        <f t="shared" si="25"/>
        <v>N</v>
      </c>
      <c r="I118">
        <f t="shared" si="26"/>
        <v>5</v>
      </c>
      <c r="J118" t="b">
        <f t="shared" si="18"/>
        <v>1</v>
      </c>
      <c r="K118" t="s">
        <v>457</v>
      </c>
      <c r="L118" t="s">
        <v>348</v>
      </c>
      <c r="M118">
        <v>2</v>
      </c>
      <c r="N118" t="str">
        <f t="shared" si="24"/>
        <v>hr14</v>
      </c>
    </row>
    <row r="119" spans="1:14" x14ac:dyDescent="0.25">
      <c r="A119" s="30">
        <v>110</v>
      </c>
      <c r="B119" s="30" t="s">
        <v>122</v>
      </c>
      <c r="C119" s="30">
        <v>6</v>
      </c>
      <c r="D119" s="38" t="s">
        <v>116</v>
      </c>
      <c r="E119" s="30">
        <v>2</v>
      </c>
      <c r="F119" s="32" t="s">
        <v>311</v>
      </c>
      <c r="G119" t="str">
        <f t="shared" si="23"/>
        <v>HR3</v>
      </c>
      <c r="H119" t="str">
        <f t="shared" si="25"/>
        <v>N</v>
      </c>
      <c r="I119">
        <f t="shared" si="26"/>
        <v>2</v>
      </c>
      <c r="J119" t="b">
        <f t="shared" si="18"/>
        <v>1</v>
      </c>
      <c r="K119" t="s">
        <v>458</v>
      </c>
      <c r="L119" t="s">
        <v>348</v>
      </c>
      <c r="M119">
        <v>5</v>
      </c>
      <c r="N119" t="str">
        <f t="shared" si="24"/>
        <v>ern14</v>
      </c>
    </row>
    <row r="120" spans="1:14" x14ac:dyDescent="0.25">
      <c r="A120" s="30">
        <v>111</v>
      </c>
      <c r="B120" s="30" t="s">
        <v>123</v>
      </c>
      <c r="C120" s="30">
        <v>6</v>
      </c>
      <c r="D120" s="38" t="s">
        <v>117</v>
      </c>
      <c r="E120" s="30">
        <v>2</v>
      </c>
      <c r="F120" s="32" t="s">
        <v>312</v>
      </c>
      <c r="G120" t="str">
        <f t="shared" si="23"/>
        <v>AHR3</v>
      </c>
      <c r="H120" t="str">
        <f t="shared" si="25"/>
        <v>N</v>
      </c>
      <c r="I120">
        <f t="shared" si="26"/>
        <v>2</v>
      </c>
      <c r="J120" t="b">
        <f t="shared" si="18"/>
        <v>1</v>
      </c>
      <c r="K120" t="s">
        <v>459</v>
      </c>
      <c r="L120" t="s">
        <v>344</v>
      </c>
      <c r="M120">
        <v>2</v>
      </c>
      <c r="N120" t="str">
        <f t="shared" si="24"/>
        <v>das24</v>
      </c>
    </row>
    <row r="121" spans="1:14" x14ac:dyDescent="0.25">
      <c r="A121" s="30">
        <v>112</v>
      </c>
      <c r="B121" s="30" t="s">
        <v>61</v>
      </c>
      <c r="C121" s="30">
        <v>6</v>
      </c>
      <c r="D121" s="38" t="s">
        <v>130</v>
      </c>
      <c r="E121" s="30">
        <v>2</v>
      </c>
      <c r="F121" s="32" t="s">
        <v>313</v>
      </c>
      <c r="G121" t="str">
        <f t="shared" si="23"/>
        <v>DAS12</v>
      </c>
      <c r="H121" t="str">
        <f t="shared" si="25"/>
        <v>C</v>
      </c>
      <c r="I121">
        <f t="shared" si="26"/>
        <v>2</v>
      </c>
      <c r="J121" t="b">
        <f t="shared" si="18"/>
        <v>1</v>
      </c>
      <c r="K121" t="s">
        <v>460</v>
      </c>
      <c r="L121" t="s">
        <v>344</v>
      </c>
      <c r="M121">
        <v>2</v>
      </c>
      <c r="N121" t="str">
        <f t="shared" si="24"/>
        <v>ind24</v>
      </c>
    </row>
    <row r="122" spans="1:14" x14ac:dyDescent="0.25">
      <c r="A122" s="30">
        <v>113</v>
      </c>
      <c r="B122" s="30" t="s">
        <v>157</v>
      </c>
      <c r="C122" s="30">
        <v>6</v>
      </c>
      <c r="D122" s="38" t="s">
        <v>131</v>
      </c>
      <c r="E122" s="30">
        <v>2</v>
      </c>
      <c r="F122" s="32" t="s">
        <v>314</v>
      </c>
      <c r="G122" t="str">
        <f t="shared" si="23"/>
        <v>IND12</v>
      </c>
      <c r="H122" t="str">
        <f t="shared" si="25"/>
        <v>C</v>
      </c>
      <c r="I122">
        <f t="shared" si="26"/>
        <v>2</v>
      </c>
      <c r="J122" t="b">
        <f t="shared" si="18"/>
        <v>1</v>
      </c>
      <c r="K122" t="s">
        <v>461</v>
      </c>
      <c r="L122" t="s">
        <v>348</v>
      </c>
      <c r="M122">
        <v>2</v>
      </c>
      <c r="N122" t="str">
        <f t="shared" si="24"/>
        <v>hr24</v>
      </c>
    </row>
    <row r="123" spans="1:14" x14ac:dyDescent="0.25">
      <c r="A123" s="30">
        <v>114</v>
      </c>
      <c r="B123" s="30" t="s">
        <v>124</v>
      </c>
      <c r="C123" s="30">
        <v>6</v>
      </c>
      <c r="D123" s="38" t="s">
        <v>132</v>
      </c>
      <c r="E123" s="30">
        <v>2</v>
      </c>
      <c r="F123" s="32" t="s">
        <v>315</v>
      </c>
      <c r="G123" t="str">
        <f t="shared" si="23"/>
        <v>HR12</v>
      </c>
      <c r="H123" t="str">
        <f t="shared" si="25"/>
        <v>N</v>
      </c>
      <c r="I123">
        <f t="shared" si="26"/>
        <v>2</v>
      </c>
      <c r="J123" t="b">
        <f t="shared" si="18"/>
        <v>1</v>
      </c>
      <c r="K123" t="s">
        <v>462</v>
      </c>
      <c r="L123" t="s">
        <v>348</v>
      </c>
      <c r="M123">
        <v>5</v>
      </c>
      <c r="N123" t="str">
        <f t="shared" si="24"/>
        <v>ern24</v>
      </c>
    </row>
    <row r="124" spans="1:14" x14ac:dyDescent="0.25">
      <c r="A124" s="30">
        <v>115</v>
      </c>
      <c r="B124" s="30" t="s">
        <v>125</v>
      </c>
      <c r="C124" s="30">
        <v>6</v>
      </c>
      <c r="D124" s="38" t="s">
        <v>68</v>
      </c>
      <c r="E124" s="30">
        <v>5</v>
      </c>
      <c r="F124" s="32" t="s">
        <v>316</v>
      </c>
      <c r="G124" t="str">
        <f t="shared" si="23"/>
        <v>ERN12</v>
      </c>
      <c r="H124" t="str">
        <f t="shared" si="25"/>
        <v>N</v>
      </c>
      <c r="I124">
        <f t="shared" si="26"/>
        <v>5</v>
      </c>
      <c r="J124" t="b">
        <f t="shared" si="18"/>
        <v>1</v>
      </c>
      <c r="K124" t="s">
        <v>463</v>
      </c>
      <c r="L124" t="s">
        <v>348</v>
      </c>
      <c r="M124">
        <v>2</v>
      </c>
      <c r="N124" t="str">
        <f t="shared" si="24"/>
        <v>hr4</v>
      </c>
    </row>
    <row r="125" spans="1:14" x14ac:dyDescent="0.25">
      <c r="A125" s="30">
        <v>116</v>
      </c>
      <c r="B125" s="30" t="s">
        <v>62</v>
      </c>
      <c r="C125" s="30">
        <v>6</v>
      </c>
      <c r="D125" s="38" t="s">
        <v>130</v>
      </c>
      <c r="E125" s="30">
        <v>2</v>
      </c>
      <c r="F125" s="32" t="s">
        <v>317</v>
      </c>
      <c r="G125" t="str">
        <f t="shared" si="23"/>
        <v>DAS22</v>
      </c>
      <c r="H125" t="str">
        <f t="shared" si="25"/>
        <v>C</v>
      </c>
      <c r="I125">
        <f t="shared" si="26"/>
        <v>2</v>
      </c>
      <c r="J125" t="b">
        <f t="shared" si="18"/>
        <v>1</v>
      </c>
      <c r="K125" t="s">
        <v>464</v>
      </c>
      <c r="L125" t="s">
        <v>348</v>
      </c>
      <c r="M125">
        <v>2</v>
      </c>
      <c r="N125" t="str">
        <f t="shared" si="24"/>
        <v>ahr4</v>
      </c>
    </row>
    <row r="126" spans="1:14" x14ac:dyDescent="0.25">
      <c r="A126" s="30">
        <v>117</v>
      </c>
      <c r="B126" s="30" t="s">
        <v>158</v>
      </c>
      <c r="C126" s="30">
        <v>6</v>
      </c>
      <c r="D126" s="38" t="s">
        <v>131</v>
      </c>
      <c r="E126" s="30">
        <v>2</v>
      </c>
      <c r="F126" s="32" t="s">
        <v>318</v>
      </c>
      <c r="G126" t="str">
        <f t="shared" si="23"/>
        <v>IND22</v>
      </c>
      <c r="H126" t="str">
        <f t="shared" si="25"/>
        <v>C</v>
      </c>
      <c r="I126">
        <f t="shared" si="26"/>
        <v>2</v>
      </c>
      <c r="J126" t="b">
        <f t="shared" si="18"/>
        <v>1</v>
      </c>
      <c r="K126" t="s">
        <v>465</v>
      </c>
      <c r="L126" t="s">
        <v>344</v>
      </c>
      <c r="M126">
        <v>2</v>
      </c>
      <c r="N126" t="str">
        <f t="shared" si="24"/>
        <v>das13</v>
      </c>
    </row>
    <row r="127" spans="1:14" x14ac:dyDescent="0.25">
      <c r="A127" s="30">
        <v>118</v>
      </c>
      <c r="B127" s="30" t="s">
        <v>126</v>
      </c>
      <c r="C127" s="30">
        <v>6</v>
      </c>
      <c r="D127" s="38" t="s">
        <v>132</v>
      </c>
      <c r="E127" s="30">
        <v>2</v>
      </c>
      <c r="F127" s="32" t="s">
        <v>319</v>
      </c>
      <c r="G127" t="str">
        <f t="shared" si="23"/>
        <v>HR22</v>
      </c>
      <c r="H127" t="str">
        <f t="shared" si="25"/>
        <v>N</v>
      </c>
      <c r="I127">
        <f t="shared" si="26"/>
        <v>2</v>
      </c>
      <c r="J127" t="b">
        <f t="shared" si="18"/>
        <v>1</v>
      </c>
      <c r="K127" t="s">
        <v>466</v>
      </c>
      <c r="L127" t="s">
        <v>344</v>
      </c>
      <c r="M127">
        <v>2</v>
      </c>
      <c r="N127" t="str">
        <f t="shared" si="24"/>
        <v>ind13</v>
      </c>
    </row>
    <row r="128" spans="1:14" x14ac:dyDescent="0.25">
      <c r="A128" s="30">
        <v>119</v>
      </c>
      <c r="B128" s="30" t="s">
        <v>127</v>
      </c>
      <c r="C128" s="30">
        <v>6</v>
      </c>
      <c r="D128" s="38" t="s">
        <v>68</v>
      </c>
      <c r="E128" s="30">
        <v>5</v>
      </c>
      <c r="F128" s="32" t="s">
        <v>320</v>
      </c>
      <c r="G128" t="str">
        <f t="shared" si="23"/>
        <v>ERN22</v>
      </c>
      <c r="H128" t="str">
        <f t="shared" si="25"/>
        <v>N</v>
      </c>
      <c r="I128">
        <f t="shared" si="26"/>
        <v>5</v>
      </c>
      <c r="J128" t="b">
        <f t="shared" si="18"/>
        <v>1</v>
      </c>
      <c r="K128" t="s">
        <v>467</v>
      </c>
      <c r="L128" t="s">
        <v>348</v>
      </c>
      <c r="M128">
        <v>2</v>
      </c>
      <c r="N128" t="str">
        <f t="shared" si="24"/>
        <v>hr13</v>
      </c>
    </row>
    <row r="129" spans="1:15" x14ac:dyDescent="0.25">
      <c r="A129" s="30">
        <v>120</v>
      </c>
      <c r="B129" s="30" t="s">
        <v>128</v>
      </c>
      <c r="C129" s="30">
        <v>6</v>
      </c>
      <c r="D129" s="38" t="s">
        <v>133</v>
      </c>
      <c r="E129" s="30">
        <v>2</v>
      </c>
      <c r="F129" s="32" t="s">
        <v>321</v>
      </c>
      <c r="G129" t="str">
        <f t="shared" si="23"/>
        <v>HR2</v>
      </c>
      <c r="H129" t="str">
        <f t="shared" si="25"/>
        <v>N</v>
      </c>
      <c r="I129">
        <f t="shared" si="26"/>
        <v>2</v>
      </c>
      <c r="J129" t="b">
        <f t="shared" si="18"/>
        <v>1</v>
      </c>
      <c r="K129" t="s">
        <v>468</v>
      </c>
      <c r="L129" t="s">
        <v>348</v>
      </c>
      <c r="M129">
        <v>5</v>
      </c>
      <c r="N129" t="str">
        <f t="shared" si="24"/>
        <v>ern13</v>
      </c>
    </row>
    <row r="130" spans="1:15" x14ac:dyDescent="0.25">
      <c r="A130" s="30">
        <v>121</v>
      </c>
      <c r="B130" s="30" t="s">
        <v>129</v>
      </c>
      <c r="C130" s="30">
        <v>6</v>
      </c>
      <c r="D130" s="38" t="s">
        <v>134</v>
      </c>
      <c r="E130" s="30">
        <v>2</v>
      </c>
      <c r="F130" s="32" t="s">
        <v>322</v>
      </c>
      <c r="G130" t="str">
        <f t="shared" si="23"/>
        <v>AHR2</v>
      </c>
      <c r="H130" t="str">
        <f t="shared" si="25"/>
        <v>N</v>
      </c>
      <c r="I130">
        <f t="shared" si="26"/>
        <v>2</v>
      </c>
      <c r="J130" t="b">
        <f t="shared" si="18"/>
        <v>1</v>
      </c>
      <c r="K130" t="s">
        <v>469</v>
      </c>
      <c r="L130" t="s">
        <v>344</v>
      </c>
      <c r="M130">
        <v>2</v>
      </c>
      <c r="N130" t="str">
        <f t="shared" si="24"/>
        <v>das23</v>
      </c>
    </row>
    <row r="131" spans="1:15" x14ac:dyDescent="0.25">
      <c r="A131" s="30">
        <v>122</v>
      </c>
      <c r="B131" s="30" t="s">
        <v>61</v>
      </c>
      <c r="C131" s="30">
        <v>6</v>
      </c>
      <c r="D131" s="38" t="s">
        <v>135</v>
      </c>
      <c r="E131" s="30">
        <v>2</v>
      </c>
      <c r="F131" s="32" t="s">
        <v>323</v>
      </c>
      <c r="G131" t="str">
        <f t="shared" si="23"/>
        <v>DAS11</v>
      </c>
      <c r="H131" t="str">
        <f t="shared" si="25"/>
        <v>C</v>
      </c>
      <c r="I131">
        <f t="shared" si="26"/>
        <v>2</v>
      </c>
      <c r="J131" t="b">
        <f t="shared" ref="J131:J186" si="27">E131=I131</f>
        <v>1</v>
      </c>
      <c r="K131" t="s">
        <v>470</v>
      </c>
      <c r="L131" t="s">
        <v>344</v>
      </c>
      <c r="M131">
        <v>2</v>
      </c>
      <c r="N131" t="str">
        <f t="shared" si="24"/>
        <v>ind23</v>
      </c>
    </row>
    <row r="132" spans="1:15" x14ac:dyDescent="0.25">
      <c r="A132" s="30">
        <v>123</v>
      </c>
      <c r="B132" s="30" t="s">
        <v>157</v>
      </c>
      <c r="C132" s="30">
        <v>6</v>
      </c>
      <c r="D132" s="38" t="s">
        <v>136</v>
      </c>
      <c r="E132" s="30">
        <v>2</v>
      </c>
      <c r="F132" s="32" t="s">
        <v>324</v>
      </c>
      <c r="G132" t="str">
        <f t="shared" si="23"/>
        <v>IND11</v>
      </c>
      <c r="H132" t="str">
        <f t="shared" si="25"/>
        <v>C</v>
      </c>
      <c r="I132">
        <f t="shared" si="26"/>
        <v>2</v>
      </c>
      <c r="J132" t="b">
        <f t="shared" si="27"/>
        <v>1</v>
      </c>
      <c r="K132" t="s">
        <v>471</v>
      </c>
      <c r="L132" t="s">
        <v>348</v>
      </c>
      <c r="M132">
        <v>2</v>
      </c>
      <c r="N132" t="str">
        <f t="shared" si="24"/>
        <v>hr23</v>
      </c>
    </row>
    <row r="133" spans="1:15" x14ac:dyDescent="0.25">
      <c r="A133" s="30">
        <v>124</v>
      </c>
      <c r="B133" s="30" t="s">
        <v>140</v>
      </c>
      <c r="C133" s="30">
        <v>6</v>
      </c>
      <c r="D133" s="38" t="s">
        <v>137</v>
      </c>
      <c r="E133" s="30">
        <v>2</v>
      </c>
      <c r="F133" s="32" t="s">
        <v>325</v>
      </c>
      <c r="G133" t="str">
        <f t="shared" ref="G133:G140" si="28">VLOOKUP(F133,$K$2:$M$186,1,FALSE)</f>
        <v>HR11</v>
      </c>
      <c r="H133" t="str">
        <f t="shared" si="25"/>
        <v>N</v>
      </c>
      <c r="I133">
        <f t="shared" si="26"/>
        <v>2</v>
      </c>
      <c r="J133" t="b">
        <f t="shared" si="27"/>
        <v>1</v>
      </c>
      <c r="K133" t="s">
        <v>472</v>
      </c>
      <c r="L133" t="s">
        <v>348</v>
      </c>
      <c r="M133">
        <v>5</v>
      </c>
      <c r="N133" t="str">
        <f t="shared" si="24"/>
        <v>ern23</v>
      </c>
    </row>
    <row r="134" spans="1:15" x14ac:dyDescent="0.25">
      <c r="A134" s="30">
        <v>125</v>
      </c>
      <c r="B134" s="30" t="s">
        <v>141</v>
      </c>
      <c r="C134" s="30">
        <v>6</v>
      </c>
      <c r="D134" s="38" t="s">
        <v>67</v>
      </c>
      <c r="E134" s="30">
        <v>5</v>
      </c>
      <c r="F134" s="32" t="s">
        <v>326</v>
      </c>
      <c r="G134" t="str">
        <f t="shared" si="28"/>
        <v>ERN11</v>
      </c>
      <c r="H134" t="str">
        <f t="shared" si="25"/>
        <v>N</v>
      </c>
      <c r="I134">
        <f t="shared" si="26"/>
        <v>5</v>
      </c>
      <c r="J134" t="b">
        <f t="shared" si="27"/>
        <v>1</v>
      </c>
      <c r="K134" t="s">
        <v>473</v>
      </c>
      <c r="L134" t="s">
        <v>348</v>
      </c>
      <c r="M134">
        <v>2</v>
      </c>
      <c r="N134" t="str">
        <f t="shared" si="24"/>
        <v>hr3</v>
      </c>
    </row>
    <row r="135" spans="1:15" x14ac:dyDescent="0.25">
      <c r="A135" s="30">
        <v>126</v>
      </c>
      <c r="B135" s="30" t="s">
        <v>62</v>
      </c>
      <c r="C135" s="30">
        <v>6</v>
      </c>
      <c r="D135" s="38" t="s">
        <v>135</v>
      </c>
      <c r="E135" s="30">
        <v>2</v>
      </c>
      <c r="F135" s="32" t="s">
        <v>327</v>
      </c>
      <c r="G135" t="str">
        <f t="shared" si="28"/>
        <v>DAS21</v>
      </c>
      <c r="H135" t="str">
        <f t="shared" si="25"/>
        <v>C</v>
      </c>
      <c r="I135">
        <f t="shared" si="26"/>
        <v>2</v>
      </c>
      <c r="J135" t="b">
        <f t="shared" si="27"/>
        <v>1</v>
      </c>
      <c r="K135" t="s">
        <v>474</v>
      </c>
      <c r="L135" t="s">
        <v>348</v>
      </c>
      <c r="M135">
        <v>2</v>
      </c>
      <c r="N135" t="str">
        <f t="shared" si="24"/>
        <v>ahr3</v>
      </c>
    </row>
    <row r="136" spans="1:15" x14ac:dyDescent="0.25">
      <c r="A136" s="30">
        <v>127</v>
      </c>
      <c r="B136" s="30" t="s">
        <v>158</v>
      </c>
      <c r="C136" s="30">
        <v>6</v>
      </c>
      <c r="D136" s="38" t="s">
        <v>136</v>
      </c>
      <c r="E136" s="30">
        <v>2</v>
      </c>
      <c r="F136" s="32" t="s">
        <v>328</v>
      </c>
      <c r="G136" t="str">
        <f t="shared" si="28"/>
        <v>IND21</v>
      </c>
      <c r="H136" t="str">
        <f t="shared" si="25"/>
        <v>C</v>
      </c>
      <c r="I136">
        <f t="shared" si="26"/>
        <v>2</v>
      </c>
      <c r="J136" t="b">
        <f t="shared" si="27"/>
        <v>1</v>
      </c>
      <c r="K136" t="s">
        <v>475</v>
      </c>
      <c r="L136" t="s">
        <v>344</v>
      </c>
      <c r="M136">
        <v>2</v>
      </c>
      <c r="N136" t="str">
        <f t="shared" si="24"/>
        <v>das12</v>
      </c>
    </row>
    <row r="137" spans="1:15" x14ac:dyDescent="0.25">
      <c r="A137" s="30">
        <v>128</v>
      </c>
      <c r="B137" s="30" t="s">
        <v>142</v>
      </c>
      <c r="C137" s="30">
        <v>6</v>
      </c>
      <c r="D137" s="38" t="s">
        <v>137</v>
      </c>
      <c r="E137" s="30">
        <v>2</v>
      </c>
      <c r="F137" s="32" t="s">
        <v>329</v>
      </c>
      <c r="G137" t="str">
        <f t="shared" si="28"/>
        <v>HR21</v>
      </c>
      <c r="H137" t="str">
        <f t="shared" si="25"/>
        <v>N</v>
      </c>
      <c r="I137">
        <f t="shared" si="26"/>
        <v>2</v>
      </c>
      <c r="J137" t="b">
        <f t="shared" si="27"/>
        <v>1</v>
      </c>
      <c r="K137" t="s">
        <v>476</v>
      </c>
      <c r="L137" t="s">
        <v>344</v>
      </c>
      <c r="M137">
        <v>2</v>
      </c>
      <c r="N137" t="str">
        <f t="shared" si="24"/>
        <v>ind12</v>
      </c>
    </row>
    <row r="138" spans="1:15" x14ac:dyDescent="0.25">
      <c r="A138" s="30">
        <v>129</v>
      </c>
      <c r="B138" s="30" t="s">
        <v>143</v>
      </c>
      <c r="C138" s="30">
        <v>6</v>
      </c>
      <c r="D138" s="38" t="s">
        <v>67</v>
      </c>
      <c r="E138" s="30">
        <v>5</v>
      </c>
      <c r="F138" s="32" t="s">
        <v>330</v>
      </c>
      <c r="G138" t="str">
        <f t="shared" si="28"/>
        <v>ERN21</v>
      </c>
      <c r="H138" t="str">
        <f t="shared" si="25"/>
        <v>N</v>
      </c>
      <c r="I138">
        <f t="shared" si="26"/>
        <v>5</v>
      </c>
      <c r="J138" t="b">
        <f t="shared" si="27"/>
        <v>1</v>
      </c>
      <c r="K138" t="s">
        <v>477</v>
      </c>
      <c r="L138" t="s">
        <v>348</v>
      </c>
      <c r="M138">
        <v>2</v>
      </c>
      <c r="N138" t="str">
        <f t="shared" si="24"/>
        <v>hr12</v>
      </c>
    </row>
    <row r="139" spans="1:15" x14ac:dyDescent="0.25">
      <c r="A139" s="30">
        <v>130</v>
      </c>
      <c r="B139" s="30" t="s">
        <v>144</v>
      </c>
      <c r="C139" s="30">
        <v>6</v>
      </c>
      <c r="D139" s="38" t="s">
        <v>138</v>
      </c>
      <c r="E139" s="30">
        <v>2</v>
      </c>
      <c r="F139" s="32" t="s">
        <v>331</v>
      </c>
      <c r="G139" t="str">
        <f t="shared" si="28"/>
        <v>HR1</v>
      </c>
      <c r="H139" t="str">
        <f t="shared" si="25"/>
        <v>N</v>
      </c>
      <c r="I139">
        <f t="shared" si="26"/>
        <v>2</v>
      </c>
      <c r="J139" t="b">
        <f t="shared" si="27"/>
        <v>1</v>
      </c>
      <c r="K139" t="s">
        <v>478</v>
      </c>
      <c r="L139" t="s">
        <v>348</v>
      </c>
      <c r="M139">
        <v>5</v>
      </c>
      <c r="N139" t="str">
        <f t="shared" si="24"/>
        <v>ern12</v>
      </c>
    </row>
    <row r="140" spans="1:15" x14ac:dyDescent="0.25">
      <c r="A140" s="30">
        <v>131</v>
      </c>
      <c r="B140" s="30" t="s">
        <v>145</v>
      </c>
      <c r="C140" s="30">
        <v>6</v>
      </c>
      <c r="D140" s="38" t="s">
        <v>139</v>
      </c>
      <c r="E140" s="30">
        <v>2</v>
      </c>
      <c r="F140" s="32" t="s">
        <v>332</v>
      </c>
      <c r="G140" t="str">
        <f t="shared" si="28"/>
        <v>AHR1</v>
      </c>
      <c r="H140" t="str">
        <f t="shared" si="25"/>
        <v>N</v>
      </c>
      <c r="I140">
        <f t="shared" si="26"/>
        <v>2</v>
      </c>
      <c r="J140" t="b">
        <f t="shared" si="27"/>
        <v>1</v>
      </c>
      <c r="K140" t="s">
        <v>479</v>
      </c>
      <c r="L140" t="s">
        <v>344</v>
      </c>
      <c r="M140">
        <v>2</v>
      </c>
      <c r="N140" t="str">
        <f t="shared" si="24"/>
        <v>das22</v>
      </c>
    </row>
    <row r="141" spans="1:15" x14ac:dyDescent="0.25">
      <c r="A141" s="30"/>
      <c r="B141" s="30" t="s">
        <v>555</v>
      </c>
      <c r="C141" s="30"/>
      <c r="D141" s="38"/>
      <c r="E141" s="30">
        <v>3</v>
      </c>
      <c r="F141" s="44" t="s">
        <v>544</v>
      </c>
      <c r="G141" t="str">
        <f t="shared" ref="G141:G143" si="29">VLOOKUP(F141,$K$2:$M$186,1,FALSE)</f>
        <v>TOTHRS_WRK</v>
      </c>
      <c r="H141" t="str">
        <f t="shared" ref="H141:H143" si="30">VLOOKUP(F141,$K$2:$M$186,2,FALSE)</f>
        <v>N</v>
      </c>
      <c r="I141">
        <f t="shared" ref="I141:I145" si="31">VLOOKUP(F141,$K$2:$M$186,3,FALSE)</f>
        <v>3</v>
      </c>
      <c r="J141" t="b">
        <f t="shared" si="27"/>
        <v>1</v>
      </c>
      <c r="O141" t="str">
        <f>LOWER(F141)</f>
        <v>tothrs_wrk</v>
      </c>
    </row>
    <row r="142" spans="1:15" x14ac:dyDescent="0.25">
      <c r="A142" s="30"/>
      <c r="B142" s="30" t="s">
        <v>556</v>
      </c>
      <c r="C142" s="30"/>
      <c r="D142" s="38"/>
      <c r="E142" s="30">
        <v>3</v>
      </c>
      <c r="F142" s="44" t="s">
        <v>545</v>
      </c>
      <c r="G142" t="str">
        <f t="shared" si="29"/>
        <v>TOTADL_WRK</v>
      </c>
      <c r="H142" t="str">
        <f t="shared" si="30"/>
        <v>N</v>
      </c>
      <c r="I142">
        <f t="shared" si="31"/>
        <v>3</v>
      </c>
      <c r="J142" t="b">
        <f t="shared" si="27"/>
        <v>1</v>
      </c>
      <c r="O142" t="str">
        <f>LOWER(F142)</f>
        <v>totadl_wrk</v>
      </c>
    </row>
    <row r="143" spans="1:15" x14ac:dyDescent="0.25">
      <c r="A143" s="30">
        <v>132</v>
      </c>
      <c r="B143" s="30" t="s">
        <v>146</v>
      </c>
      <c r="C143" s="30">
        <v>6</v>
      </c>
      <c r="D143" s="38">
        <v>5</v>
      </c>
      <c r="E143" s="30">
        <v>2</v>
      </c>
      <c r="F143" s="32" t="s">
        <v>333</v>
      </c>
      <c r="G143" t="str">
        <f t="shared" si="29"/>
        <v>ACWS</v>
      </c>
      <c r="H143" t="str">
        <f t="shared" si="30"/>
        <v>C</v>
      </c>
      <c r="I143">
        <f t="shared" si="31"/>
        <v>2</v>
      </c>
      <c r="J143" t="b">
        <f t="shared" si="27"/>
        <v>1</v>
      </c>
      <c r="K143" t="s">
        <v>480</v>
      </c>
      <c r="L143" t="s">
        <v>344</v>
      </c>
      <c r="M143">
        <v>2</v>
      </c>
      <c r="N143" t="str">
        <f t="shared" ref="N143:N186" si="32">VLOOKUP(K143,$F$2:$F$151,1,FALSE)</f>
        <v>ind22</v>
      </c>
    </row>
    <row r="144" spans="1:15" x14ac:dyDescent="0.25">
      <c r="A144" s="30">
        <v>133</v>
      </c>
      <c r="B144" s="30" t="s">
        <v>147</v>
      </c>
      <c r="C144" s="30">
        <v>6</v>
      </c>
      <c r="D144" s="38">
        <v>6</v>
      </c>
      <c r="E144" s="30">
        <v>2</v>
      </c>
      <c r="F144" s="32" t="s">
        <v>334</v>
      </c>
      <c r="G144" t="str">
        <f t="shared" ref="G144:G151" si="33">VLOOKUP(F144,$K$2:$M$186,1,FALSE)</f>
        <v>AIND_CWS</v>
      </c>
      <c r="H144" t="str">
        <f t="shared" ref="H144:H151" si="34">VLOOKUP(F144,$K$2:$M$186,2,FALSE)</f>
        <v>C</v>
      </c>
      <c r="I144">
        <f t="shared" si="31"/>
        <v>2</v>
      </c>
      <c r="J144" t="b">
        <f t="shared" si="27"/>
        <v>1</v>
      </c>
      <c r="K144" t="s">
        <v>481</v>
      </c>
      <c r="L144" t="s">
        <v>348</v>
      </c>
      <c r="M144">
        <v>2</v>
      </c>
      <c r="N144" t="str">
        <f t="shared" si="32"/>
        <v>hr22</v>
      </c>
    </row>
    <row r="145" spans="1:14" x14ac:dyDescent="0.25">
      <c r="A145" s="30">
        <v>134</v>
      </c>
      <c r="B145" s="30" t="s">
        <v>148</v>
      </c>
      <c r="C145" s="30">
        <v>6</v>
      </c>
      <c r="D145" s="38">
        <v>7</v>
      </c>
      <c r="E145" s="30">
        <v>3</v>
      </c>
      <c r="F145" s="32" t="s">
        <v>335</v>
      </c>
      <c r="G145" t="str">
        <f t="shared" si="33"/>
        <v>OCU_CWS</v>
      </c>
      <c r="H145" t="str">
        <f t="shared" si="34"/>
        <v>C</v>
      </c>
      <c r="I145">
        <f t="shared" si="31"/>
        <v>3</v>
      </c>
      <c r="J145" t="b">
        <f t="shared" si="27"/>
        <v>1</v>
      </c>
      <c r="K145" t="s">
        <v>482</v>
      </c>
      <c r="L145" t="s">
        <v>348</v>
      </c>
      <c r="M145">
        <v>5</v>
      </c>
      <c r="N145" t="str">
        <f t="shared" si="32"/>
        <v>ern22</v>
      </c>
    </row>
    <row r="146" spans="1:14" x14ac:dyDescent="0.25">
      <c r="A146" s="30">
        <v>135</v>
      </c>
      <c r="B146" s="30" t="s">
        <v>176</v>
      </c>
      <c r="C146" s="30">
        <v>6</v>
      </c>
      <c r="D146" s="38">
        <v>9</v>
      </c>
      <c r="E146" s="30">
        <v>8</v>
      </c>
      <c r="F146" s="32" t="s">
        <v>336</v>
      </c>
      <c r="G146" t="str">
        <f t="shared" si="33"/>
        <v>ERN_REG</v>
      </c>
      <c r="H146" t="str">
        <f t="shared" si="34"/>
        <v>N</v>
      </c>
      <c r="I146">
        <f t="shared" ref="I146:I151" si="35">VLOOKUP(F146,$K$2:$M$186,3,FALSE)</f>
        <v>8</v>
      </c>
      <c r="J146" t="b">
        <f t="shared" si="27"/>
        <v>1</v>
      </c>
      <c r="K146" t="s">
        <v>483</v>
      </c>
      <c r="L146" t="s">
        <v>348</v>
      </c>
      <c r="M146">
        <v>2</v>
      </c>
      <c r="N146" t="str">
        <f t="shared" si="32"/>
        <v>hr2</v>
      </c>
    </row>
    <row r="147" spans="1:14" x14ac:dyDescent="0.25">
      <c r="A147" s="30">
        <v>136</v>
      </c>
      <c r="B147" s="30" t="s">
        <v>177</v>
      </c>
      <c r="C147" s="30">
        <v>6</v>
      </c>
      <c r="D147" s="38">
        <v>10</v>
      </c>
      <c r="E147" s="30">
        <v>8</v>
      </c>
      <c r="F147" s="32" t="s">
        <v>337</v>
      </c>
      <c r="G147" t="str">
        <f t="shared" si="33"/>
        <v>ERN_SELF</v>
      </c>
      <c r="H147" t="str">
        <f t="shared" si="34"/>
        <v>N</v>
      </c>
      <c r="I147">
        <f t="shared" si="35"/>
        <v>8</v>
      </c>
      <c r="J147" t="b">
        <f t="shared" si="27"/>
        <v>1</v>
      </c>
      <c r="K147" t="s">
        <v>484</v>
      </c>
      <c r="L147" t="s">
        <v>348</v>
      </c>
      <c r="M147">
        <v>2</v>
      </c>
      <c r="N147" t="str">
        <f t="shared" si="32"/>
        <v>ahr2</v>
      </c>
    </row>
    <row r="148" spans="1:14" x14ac:dyDescent="0.25">
      <c r="A148" s="30">
        <v>137</v>
      </c>
      <c r="B148" s="30" t="s">
        <v>153</v>
      </c>
      <c r="C148" s="38" t="s">
        <v>30</v>
      </c>
      <c r="D148" s="30"/>
      <c r="E148" s="30">
        <v>3</v>
      </c>
      <c r="F148" s="32" t="s">
        <v>214</v>
      </c>
      <c r="G148" t="e">
        <f t="shared" si="33"/>
        <v>#N/A</v>
      </c>
      <c r="H148" t="e">
        <f t="shared" si="34"/>
        <v>#N/A</v>
      </c>
      <c r="I148" t="e">
        <f t="shared" si="35"/>
        <v>#N/A</v>
      </c>
      <c r="J148" t="e">
        <f t="shared" si="27"/>
        <v>#N/A</v>
      </c>
      <c r="K148" t="s">
        <v>485</v>
      </c>
      <c r="L148" t="s">
        <v>344</v>
      </c>
      <c r="M148">
        <v>2</v>
      </c>
      <c r="N148" t="str">
        <f t="shared" si="32"/>
        <v>das11</v>
      </c>
    </row>
    <row r="149" spans="1:14" x14ac:dyDescent="0.25">
      <c r="A149" s="30">
        <v>138</v>
      </c>
      <c r="B149" s="30" t="s">
        <v>152</v>
      </c>
      <c r="C149" s="38" t="s">
        <v>30</v>
      </c>
      <c r="D149" s="30"/>
      <c r="E149" s="30">
        <v>3</v>
      </c>
      <c r="F149" s="32" t="s">
        <v>215</v>
      </c>
      <c r="G149" t="e">
        <f t="shared" si="33"/>
        <v>#N/A</v>
      </c>
      <c r="H149" t="e">
        <f t="shared" si="34"/>
        <v>#N/A</v>
      </c>
      <c r="I149" t="e">
        <f t="shared" si="35"/>
        <v>#N/A</v>
      </c>
      <c r="J149" t="e">
        <f t="shared" si="27"/>
        <v>#N/A</v>
      </c>
      <c r="K149" t="s">
        <v>486</v>
      </c>
      <c r="L149" t="s">
        <v>344</v>
      </c>
      <c r="M149">
        <v>2</v>
      </c>
      <c r="N149" t="str">
        <f t="shared" si="32"/>
        <v>ind11</v>
      </c>
    </row>
    <row r="150" spans="1:14" x14ac:dyDescent="0.25">
      <c r="A150" s="30">
        <v>139</v>
      </c>
      <c r="B150" s="30" t="s">
        <v>154</v>
      </c>
      <c r="C150" s="38" t="s">
        <v>30</v>
      </c>
      <c r="D150" s="30"/>
      <c r="E150" s="30">
        <v>10</v>
      </c>
      <c r="F150" s="32" t="s">
        <v>216</v>
      </c>
      <c r="G150" t="e">
        <f t="shared" si="33"/>
        <v>#N/A</v>
      </c>
      <c r="H150" t="e">
        <f t="shared" si="34"/>
        <v>#N/A</v>
      </c>
      <c r="I150" t="e">
        <f t="shared" si="35"/>
        <v>#N/A</v>
      </c>
      <c r="J150" t="e">
        <f t="shared" si="27"/>
        <v>#N/A</v>
      </c>
      <c r="K150" t="s">
        <v>487</v>
      </c>
      <c r="L150" t="s">
        <v>348</v>
      </c>
      <c r="M150">
        <v>2</v>
      </c>
      <c r="N150" t="str">
        <f t="shared" si="32"/>
        <v>hr11</v>
      </c>
    </row>
    <row r="151" spans="1:14" x14ac:dyDescent="0.25">
      <c r="B151" s="30" t="s">
        <v>338</v>
      </c>
      <c r="C151" s="38" t="s">
        <v>30</v>
      </c>
      <c r="D151" s="30"/>
      <c r="E151" s="30">
        <v>1</v>
      </c>
      <c r="F151" s="32" t="s">
        <v>217</v>
      </c>
      <c r="G151" t="e">
        <f t="shared" si="33"/>
        <v>#N/A</v>
      </c>
      <c r="H151" t="e">
        <f t="shared" si="34"/>
        <v>#N/A</v>
      </c>
      <c r="I151" t="e">
        <f t="shared" si="35"/>
        <v>#N/A</v>
      </c>
      <c r="J151" t="e">
        <f t="shared" si="27"/>
        <v>#N/A</v>
      </c>
      <c r="K151" t="s">
        <v>488</v>
      </c>
      <c r="L151" t="s">
        <v>348</v>
      </c>
      <c r="M151">
        <v>5</v>
      </c>
      <c r="N151" t="str">
        <f t="shared" si="32"/>
        <v>ern11</v>
      </c>
    </row>
    <row r="152" spans="1:14" x14ac:dyDescent="0.25">
      <c r="J152" t="b">
        <f t="shared" si="27"/>
        <v>1</v>
      </c>
      <c r="K152" t="s">
        <v>489</v>
      </c>
      <c r="L152" t="s">
        <v>344</v>
      </c>
      <c r="M152">
        <v>2</v>
      </c>
      <c r="N152" t="str">
        <f t="shared" si="32"/>
        <v>das21</v>
      </c>
    </row>
    <row r="153" spans="1:14" x14ac:dyDescent="0.25">
      <c r="J153" t="b">
        <f t="shared" si="27"/>
        <v>1</v>
      </c>
      <c r="K153" t="s">
        <v>490</v>
      </c>
      <c r="L153" t="s">
        <v>344</v>
      </c>
      <c r="M153">
        <v>2</v>
      </c>
      <c r="N153" t="str">
        <f t="shared" si="32"/>
        <v>ind21</v>
      </c>
    </row>
    <row r="154" spans="1:14" x14ac:dyDescent="0.25">
      <c r="J154" t="b">
        <f t="shared" si="27"/>
        <v>1</v>
      </c>
      <c r="K154" t="s">
        <v>491</v>
      </c>
      <c r="L154" t="s">
        <v>348</v>
      </c>
      <c r="M154">
        <v>2</v>
      </c>
      <c r="N154" t="str">
        <f t="shared" si="32"/>
        <v>hr21</v>
      </c>
    </row>
    <row r="155" spans="1:14" x14ac:dyDescent="0.25">
      <c r="J155" t="b">
        <f t="shared" si="27"/>
        <v>1</v>
      </c>
      <c r="K155" t="s">
        <v>492</v>
      </c>
      <c r="L155" t="s">
        <v>348</v>
      </c>
      <c r="M155">
        <v>5</v>
      </c>
      <c r="N155" t="str">
        <f t="shared" si="32"/>
        <v>ern21</v>
      </c>
    </row>
    <row r="156" spans="1:14" x14ac:dyDescent="0.25">
      <c r="J156" t="b">
        <f t="shared" si="27"/>
        <v>1</v>
      </c>
      <c r="K156" t="s">
        <v>493</v>
      </c>
      <c r="L156" t="s">
        <v>348</v>
      </c>
      <c r="M156">
        <v>2</v>
      </c>
      <c r="N156" t="str">
        <f t="shared" si="32"/>
        <v>hr1</v>
      </c>
    </row>
    <row r="157" spans="1:14" x14ac:dyDescent="0.25">
      <c r="J157" t="b">
        <f t="shared" si="27"/>
        <v>1</v>
      </c>
      <c r="K157" t="s">
        <v>494</v>
      </c>
      <c r="L157" t="s">
        <v>348</v>
      </c>
      <c r="M157">
        <v>2</v>
      </c>
      <c r="N157" t="str">
        <f t="shared" si="32"/>
        <v>ahr1</v>
      </c>
    </row>
    <row r="158" spans="1:14" x14ac:dyDescent="0.25">
      <c r="J158" t="b">
        <f t="shared" si="27"/>
        <v>1</v>
      </c>
      <c r="K158" s="44" t="s">
        <v>495</v>
      </c>
      <c r="L158" s="44" t="s">
        <v>348</v>
      </c>
      <c r="M158" s="44">
        <v>3</v>
      </c>
      <c r="N158" s="44" t="str">
        <f t="shared" si="32"/>
        <v>tothrs_wrk</v>
      </c>
    </row>
    <row r="159" spans="1:14" x14ac:dyDescent="0.25">
      <c r="J159" t="b">
        <f t="shared" si="27"/>
        <v>1</v>
      </c>
      <c r="K159" s="44" t="s">
        <v>496</v>
      </c>
      <c r="L159" s="44" t="s">
        <v>348</v>
      </c>
      <c r="M159" s="44">
        <v>3</v>
      </c>
      <c r="N159" s="44" t="str">
        <f t="shared" si="32"/>
        <v>totadl_wrk</v>
      </c>
    </row>
    <row r="160" spans="1:14" x14ac:dyDescent="0.25">
      <c r="J160" t="b">
        <f t="shared" si="27"/>
        <v>1</v>
      </c>
      <c r="K160" s="45" t="s">
        <v>497</v>
      </c>
      <c r="L160" s="45" t="s">
        <v>344</v>
      </c>
      <c r="M160" s="45">
        <v>2</v>
      </c>
      <c r="N160" s="45" t="e">
        <f t="shared" si="32"/>
        <v>#N/A</v>
      </c>
    </row>
    <row r="161" spans="10:14" x14ac:dyDescent="0.25">
      <c r="J161" t="b">
        <f t="shared" si="27"/>
        <v>1</v>
      </c>
      <c r="K161" s="43" t="s">
        <v>498</v>
      </c>
      <c r="L161" s="43" t="s">
        <v>344</v>
      </c>
      <c r="M161" s="43">
        <v>100</v>
      </c>
      <c r="N161" s="43" t="e">
        <f t="shared" si="32"/>
        <v>#N/A</v>
      </c>
    </row>
    <row r="162" spans="10:14" x14ac:dyDescent="0.25">
      <c r="J162" t="b">
        <f t="shared" si="27"/>
        <v>1</v>
      </c>
      <c r="K162" s="45" t="s">
        <v>499</v>
      </c>
      <c r="L162" s="45" t="s">
        <v>344</v>
      </c>
      <c r="M162" s="45">
        <v>2</v>
      </c>
      <c r="N162" s="45" t="e">
        <f t="shared" si="32"/>
        <v>#N/A</v>
      </c>
    </row>
    <row r="163" spans="10:14" x14ac:dyDescent="0.25">
      <c r="J163" t="b">
        <f t="shared" si="27"/>
        <v>1</v>
      </c>
      <c r="K163" t="s">
        <v>500</v>
      </c>
      <c r="L163" t="s">
        <v>344</v>
      </c>
      <c r="M163">
        <v>3</v>
      </c>
      <c r="N163" t="str">
        <f t="shared" si="32"/>
        <v>ocu_cws</v>
      </c>
    </row>
    <row r="164" spans="10:14" x14ac:dyDescent="0.25">
      <c r="J164" t="b">
        <f t="shared" si="27"/>
        <v>1</v>
      </c>
      <c r="K164" t="s">
        <v>501</v>
      </c>
      <c r="L164" t="s">
        <v>348</v>
      </c>
      <c r="M164">
        <v>8</v>
      </c>
      <c r="N164" t="str">
        <f t="shared" si="32"/>
        <v>ern_reg</v>
      </c>
    </row>
    <row r="165" spans="10:14" x14ac:dyDescent="0.25">
      <c r="J165" t="b">
        <f t="shared" si="27"/>
        <v>1</v>
      </c>
      <c r="K165" t="s">
        <v>502</v>
      </c>
      <c r="L165" t="s">
        <v>348</v>
      </c>
      <c r="M165">
        <v>8</v>
      </c>
      <c r="N165" t="str">
        <f t="shared" si="32"/>
        <v>ern_self</v>
      </c>
    </row>
    <row r="166" spans="10:14" x14ac:dyDescent="0.25">
      <c r="J166" t="b">
        <f t="shared" si="27"/>
        <v>1</v>
      </c>
      <c r="K166" s="43" t="s">
        <v>359</v>
      </c>
      <c r="L166" s="43" t="s">
        <v>344</v>
      </c>
      <c r="M166" s="43">
        <v>1</v>
      </c>
      <c r="N166" s="43" t="e">
        <f t="shared" si="32"/>
        <v>#N/A</v>
      </c>
    </row>
    <row r="167" spans="10:14" x14ac:dyDescent="0.25">
      <c r="J167" t="b">
        <f t="shared" si="27"/>
        <v>1</v>
      </c>
      <c r="K167" s="43" t="s">
        <v>360</v>
      </c>
      <c r="L167" s="43" t="s">
        <v>344</v>
      </c>
      <c r="M167" s="43">
        <v>20</v>
      </c>
      <c r="N167" s="43" t="e">
        <f t="shared" si="32"/>
        <v>#N/A</v>
      </c>
    </row>
    <row r="168" spans="10:14" x14ac:dyDescent="0.25">
      <c r="J168" t="b">
        <f t="shared" si="27"/>
        <v>1</v>
      </c>
      <c r="K168" s="43" t="s">
        <v>361</v>
      </c>
      <c r="L168" s="43" t="s">
        <v>344</v>
      </c>
      <c r="M168" s="43">
        <v>15</v>
      </c>
      <c r="N168" s="43" t="e">
        <f t="shared" si="32"/>
        <v>#N/A</v>
      </c>
    </row>
    <row r="169" spans="10:14" x14ac:dyDescent="0.25">
      <c r="J169" t="b">
        <f t="shared" si="27"/>
        <v>1</v>
      </c>
      <c r="K169" s="43" t="s">
        <v>503</v>
      </c>
      <c r="L169" s="43" t="s">
        <v>344</v>
      </c>
      <c r="M169" s="43">
        <v>15</v>
      </c>
      <c r="N169" s="43" t="e">
        <f t="shared" si="32"/>
        <v>#N/A</v>
      </c>
    </row>
    <row r="170" spans="10:14" x14ac:dyDescent="0.25">
      <c r="J170" t="b">
        <f t="shared" si="27"/>
        <v>1</v>
      </c>
      <c r="K170" s="43" t="s">
        <v>504</v>
      </c>
      <c r="L170" s="43" t="s">
        <v>344</v>
      </c>
      <c r="M170" s="43">
        <v>15</v>
      </c>
      <c r="N170" s="43" t="e">
        <f t="shared" si="32"/>
        <v>#N/A</v>
      </c>
    </row>
    <row r="171" spans="10:14" x14ac:dyDescent="0.25">
      <c r="J171" t="b">
        <f t="shared" si="27"/>
        <v>1</v>
      </c>
      <c r="K171" s="43" t="s">
        <v>505</v>
      </c>
      <c r="L171" s="43" t="s">
        <v>344</v>
      </c>
      <c r="M171" s="43">
        <v>15</v>
      </c>
      <c r="N171" s="43" t="e">
        <f t="shared" si="32"/>
        <v>#N/A</v>
      </c>
    </row>
    <row r="172" spans="10:14" x14ac:dyDescent="0.25">
      <c r="J172" t="b">
        <f t="shared" si="27"/>
        <v>1</v>
      </c>
      <c r="K172" s="43" t="s">
        <v>506</v>
      </c>
      <c r="L172" s="43" t="s">
        <v>344</v>
      </c>
      <c r="M172" s="43">
        <v>15</v>
      </c>
      <c r="N172" s="43" t="e">
        <f t="shared" si="32"/>
        <v>#N/A</v>
      </c>
    </row>
    <row r="173" spans="10:14" x14ac:dyDescent="0.25">
      <c r="J173" t="b">
        <f t="shared" si="27"/>
        <v>1</v>
      </c>
      <c r="K173" s="43" t="s">
        <v>363</v>
      </c>
      <c r="L173" s="43" t="s">
        <v>344</v>
      </c>
      <c r="M173" s="43">
        <v>15</v>
      </c>
      <c r="N173" s="43" t="e">
        <f t="shared" si="32"/>
        <v>#N/A</v>
      </c>
    </row>
    <row r="174" spans="10:14" x14ac:dyDescent="0.25">
      <c r="J174" t="b">
        <f t="shared" si="27"/>
        <v>1</v>
      </c>
      <c r="K174" t="s">
        <v>507</v>
      </c>
      <c r="L174" t="s">
        <v>344</v>
      </c>
      <c r="M174">
        <v>2</v>
      </c>
      <c r="N174" t="str">
        <f t="shared" si="32"/>
        <v>acws</v>
      </c>
    </row>
    <row r="175" spans="10:14" x14ac:dyDescent="0.25">
      <c r="J175" t="b">
        <f t="shared" si="27"/>
        <v>1</v>
      </c>
      <c r="K175" t="s">
        <v>508</v>
      </c>
      <c r="L175" t="s">
        <v>344</v>
      </c>
      <c r="M175">
        <v>2</v>
      </c>
      <c r="N175" t="str">
        <f t="shared" si="32"/>
        <v>aind_cws</v>
      </c>
    </row>
    <row r="176" spans="10:14" x14ac:dyDescent="0.25">
      <c r="J176" t="b">
        <f t="shared" si="27"/>
        <v>1</v>
      </c>
      <c r="K176" s="43" t="s">
        <v>509</v>
      </c>
      <c r="L176" s="43" t="s">
        <v>348</v>
      </c>
      <c r="M176" s="43">
        <v>1</v>
      </c>
      <c r="N176" s="43" t="e">
        <f t="shared" si="32"/>
        <v>#N/A</v>
      </c>
    </row>
    <row r="177" spans="10:14" x14ac:dyDescent="0.25">
      <c r="J177" t="b">
        <f t="shared" si="27"/>
        <v>1</v>
      </c>
      <c r="K177" s="43" t="s">
        <v>510</v>
      </c>
      <c r="L177" s="43" t="s">
        <v>348</v>
      </c>
      <c r="M177" s="43">
        <v>1</v>
      </c>
      <c r="N177" s="43" t="e">
        <f t="shared" si="32"/>
        <v>#N/A</v>
      </c>
    </row>
    <row r="178" spans="10:14" x14ac:dyDescent="0.25">
      <c r="J178" t="b">
        <f t="shared" si="27"/>
        <v>1</v>
      </c>
      <c r="K178" s="43" t="s">
        <v>511</v>
      </c>
      <c r="L178" s="43" t="s">
        <v>348</v>
      </c>
      <c r="M178" s="43">
        <v>3</v>
      </c>
      <c r="N178" s="43" t="e">
        <f t="shared" si="32"/>
        <v>#N/A</v>
      </c>
    </row>
    <row r="179" spans="10:14" x14ac:dyDescent="0.25">
      <c r="J179" t="b">
        <f t="shared" si="27"/>
        <v>1</v>
      </c>
      <c r="K179" s="43" t="s">
        <v>512</v>
      </c>
      <c r="L179" s="43" t="s">
        <v>348</v>
      </c>
      <c r="M179" s="43">
        <v>3</v>
      </c>
      <c r="N179" s="43" t="e">
        <f t="shared" si="32"/>
        <v>#N/A</v>
      </c>
    </row>
    <row r="180" spans="10:14" x14ac:dyDescent="0.25">
      <c r="J180" t="b">
        <f t="shared" si="27"/>
        <v>1</v>
      </c>
      <c r="K180" s="43" t="s">
        <v>513</v>
      </c>
      <c r="L180" s="43" t="s">
        <v>348</v>
      </c>
      <c r="M180" s="43">
        <v>3</v>
      </c>
      <c r="N180" s="43" t="e">
        <f t="shared" si="32"/>
        <v>#N/A</v>
      </c>
    </row>
    <row r="181" spans="10:14" x14ac:dyDescent="0.25">
      <c r="J181" t="b">
        <f t="shared" si="27"/>
        <v>1</v>
      </c>
      <c r="K181" s="43" t="s">
        <v>514</v>
      </c>
      <c r="L181" s="43" t="s">
        <v>348</v>
      </c>
      <c r="M181" s="43">
        <v>3</v>
      </c>
      <c r="N181" s="43" t="e">
        <f t="shared" si="32"/>
        <v>#N/A</v>
      </c>
    </row>
    <row r="182" spans="10:14" x14ac:dyDescent="0.25">
      <c r="J182" t="b">
        <f t="shared" si="27"/>
        <v>1</v>
      </c>
      <c r="K182" s="43" t="s">
        <v>515</v>
      </c>
      <c r="L182" s="43" t="s">
        <v>348</v>
      </c>
      <c r="M182" s="43">
        <v>1</v>
      </c>
      <c r="N182" s="43" t="e">
        <f t="shared" si="32"/>
        <v>#N/A</v>
      </c>
    </row>
    <row r="183" spans="10:14" x14ac:dyDescent="0.25">
      <c r="J183" t="b">
        <f t="shared" si="27"/>
        <v>1</v>
      </c>
      <c r="K183" s="43" t="s">
        <v>362</v>
      </c>
      <c r="L183" s="43" t="s">
        <v>344</v>
      </c>
      <c r="M183" s="43">
        <v>2</v>
      </c>
      <c r="N183" s="43" t="e">
        <f t="shared" si="32"/>
        <v>#N/A</v>
      </c>
    </row>
    <row r="184" spans="10:14" x14ac:dyDescent="0.25">
      <c r="J184" t="b">
        <f t="shared" si="27"/>
        <v>1</v>
      </c>
      <c r="K184" t="s">
        <v>351</v>
      </c>
      <c r="L184" t="s">
        <v>344</v>
      </c>
      <c r="M184">
        <v>2</v>
      </c>
      <c r="N184" t="str">
        <f t="shared" si="32"/>
        <v>dc</v>
      </c>
    </row>
    <row r="185" spans="10:14" x14ac:dyDescent="0.25">
      <c r="J185" t="b">
        <f t="shared" si="27"/>
        <v>1</v>
      </c>
      <c r="K185" s="43" t="s">
        <v>516</v>
      </c>
      <c r="L185" s="43" t="s">
        <v>344</v>
      </c>
      <c r="M185" s="43">
        <v>2</v>
      </c>
      <c r="N185" s="43" t="e">
        <f t="shared" si="32"/>
        <v>#N/A</v>
      </c>
    </row>
    <row r="186" spans="10:14" x14ac:dyDescent="0.25">
      <c r="J186" t="b">
        <f t="shared" si="27"/>
        <v>1</v>
      </c>
      <c r="K186" s="43" t="s">
        <v>517</v>
      </c>
      <c r="L186" s="43" t="s">
        <v>344</v>
      </c>
      <c r="M186" s="43">
        <v>1</v>
      </c>
      <c r="N186" s="43" t="e">
        <f t="shared" si="32"/>
        <v>#N/A</v>
      </c>
    </row>
  </sheetData>
  <autoFilter ref="A1:P186" xr:uid="{00000000-0009-0000-0000-000006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Data Layout</vt:lpstr>
      <vt:lpstr>CHHV1</vt:lpstr>
      <vt:lpstr>CPERV1</vt:lpstr>
      <vt:lpstr>hhrv</vt:lpstr>
      <vt:lpstr>perrv</vt:lpstr>
      <vt:lpstr>perv1 (2)</vt:lpstr>
      <vt:lpstr>'Data Layout'!_Hlk183704667</vt:lpstr>
      <vt:lpstr>'Data Layout'!_Hlk183705042</vt:lpstr>
      <vt:lpstr>'Data Layout'!_Hlk183705232</vt:lpstr>
      <vt:lpstr>'Data Layout'!_Hlk183705312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Soumendra</dc:creator>
  <cp:lastModifiedBy>tarak patra</cp:lastModifiedBy>
  <cp:lastPrinted>2019-02-26T09:18:14Z</cp:lastPrinted>
  <dcterms:created xsi:type="dcterms:W3CDTF">2019-02-26T05:25:44Z</dcterms:created>
  <dcterms:modified xsi:type="dcterms:W3CDTF">2026-03-27T09:20:22Z</dcterms:modified>
</cp:coreProperties>
</file>