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Data Layout" sheetId="1" r:id="rId1"/>
    <sheet name="State code" sheetId="2" r:id="rId2"/>
    <sheet name="chhv1" sheetId="3" r:id="rId3"/>
    <sheet name="cperv1" sheetId="4" r:id="rId4"/>
  </sheets>
  <definedNames>
    <definedName name="_xlnm._FilterDatabase" localSheetId="0" hidden="1">'Data Layout'!$U$4:$U$41</definedName>
    <definedName name="_xlnm.Print_Area" localSheetId="2">chhv1!$A$1:$F$40</definedName>
    <definedName name="_xlnm.Print_Area" localSheetId="3">cperv1!$A$1:$E$142</definedName>
    <definedName name="_xlnm.Print_Area" localSheetId="1">'State code'!$A$1:$B$38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1" l="1"/>
  <c r="F49" i="1" s="1"/>
  <c r="G49" i="1" s="1"/>
  <c r="F50" i="1" s="1"/>
  <c r="G50" i="1" s="1"/>
  <c r="F51" i="1" s="1"/>
  <c r="G51" i="1" s="1"/>
  <c r="F52" i="1" s="1"/>
  <c r="G52" i="1" s="1"/>
  <c r="F53" i="1" s="1"/>
  <c r="G53" i="1" s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  <c r="F112" i="1" s="1"/>
  <c r="G112" i="1" s="1"/>
  <c r="F113" i="1" s="1"/>
  <c r="G113" i="1" s="1"/>
  <c r="F114" i="1" s="1"/>
  <c r="G114" i="1" s="1"/>
  <c r="F115" i="1" s="1"/>
  <c r="G115" i="1" s="1"/>
  <c r="F116" i="1" s="1"/>
  <c r="G116" i="1" s="1"/>
  <c r="F117" i="1" s="1"/>
  <c r="G117" i="1" s="1"/>
  <c r="F118" i="1" s="1"/>
  <c r="G118" i="1" s="1"/>
  <c r="F119" i="1" s="1"/>
  <c r="G119" i="1" s="1"/>
  <c r="F120" i="1" s="1"/>
  <c r="G120" i="1" s="1"/>
  <c r="F121" i="1" s="1"/>
  <c r="G121" i="1" s="1"/>
  <c r="F122" i="1" s="1"/>
  <c r="G122" i="1" s="1"/>
  <c r="F123" i="1" s="1"/>
  <c r="G123" i="1" s="1"/>
  <c r="F124" i="1" s="1"/>
  <c r="G124" i="1" s="1"/>
  <c r="F125" i="1" s="1"/>
  <c r="G125" i="1" s="1"/>
  <c r="F126" i="1" s="1"/>
  <c r="G126" i="1" s="1"/>
  <c r="F127" i="1" s="1"/>
  <c r="G127" i="1" s="1"/>
  <c r="F128" i="1" s="1"/>
  <c r="G128" i="1" s="1"/>
  <c r="F129" i="1" s="1"/>
  <c r="G129" i="1" s="1"/>
  <c r="F130" i="1" s="1"/>
  <c r="G130" i="1" s="1"/>
  <c r="F131" i="1" s="1"/>
  <c r="G131" i="1" s="1"/>
  <c r="F132" i="1" s="1"/>
  <c r="G132" i="1" s="1"/>
  <c r="F133" i="1" s="1"/>
  <c r="G133" i="1" s="1"/>
  <c r="F134" i="1" s="1"/>
  <c r="G134" i="1" s="1"/>
  <c r="F135" i="1" s="1"/>
  <c r="G135" i="1" s="1"/>
  <c r="F136" i="1" s="1"/>
  <c r="G136" i="1" s="1"/>
  <c r="F137" i="1" s="1"/>
  <c r="G137" i="1" s="1"/>
  <c r="F138" i="1" s="1"/>
  <c r="G138" i="1" s="1"/>
  <c r="F139" i="1" s="1"/>
  <c r="G139" i="1" s="1"/>
  <c r="F140" i="1" s="1"/>
  <c r="G140" i="1" s="1"/>
  <c r="F141" i="1" s="1"/>
  <c r="G141" i="1" s="1"/>
  <c r="F142" i="1" s="1"/>
  <c r="G142" i="1" s="1"/>
  <c r="F143" i="1" s="1"/>
  <c r="G143" i="1" s="1"/>
  <c r="F144" i="1" s="1"/>
  <c r="G144" i="1" s="1"/>
  <c r="F145" i="1" s="1"/>
  <c r="G145" i="1" s="1"/>
  <c r="F146" i="1" s="1"/>
  <c r="G146" i="1" s="1"/>
  <c r="F147" i="1" s="1"/>
  <c r="G147" i="1" s="1"/>
  <c r="F148" i="1" s="1"/>
  <c r="G148" i="1" s="1"/>
  <c r="F149" i="1" s="1"/>
  <c r="G149" i="1" s="1"/>
  <c r="F150" i="1" s="1"/>
  <c r="G150" i="1" s="1"/>
  <c r="F151" i="1" s="1"/>
  <c r="G151" i="1" s="1"/>
  <c r="F152" i="1" s="1"/>
  <c r="G152" i="1" s="1"/>
  <c r="F153" i="1" s="1"/>
  <c r="G153" i="1" s="1"/>
  <c r="F154" i="1" s="1"/>
  <c r="G154" i="1" s="1"/>
  <c r="F155" i="1" s="1"/>
  <c r="G155" i="1" s="1"/>
  <c r="F156" i="1" s="1"/>
  <c r="G156" i="1" s="1"/>
  <c r="F157" i="1" s="1"/>
  <c r="G157" i="1" s="1"/>
  <c r="F158" i="1" s="1"/>
  <c r="G158" i="1" s="1"/>
  <c r="F159" i="1" s="1"/>
  <c r="G159" i="1" s="1"/>
  <c r="F160" i="1" s="1"/>
  <c r="G160" i="1" s="1"/>
  <c r="F161" i="1" s="1"/>
  <c r="G161" i="1" s="1"/>
  <c r="F162" i="1" s="1"/>
  <c r="G162" i="1" s="1"/>
  <c r="F163" i="1" s="1"/>
  <c r="G163" i="1" s="1"/>
  <c r="F164" i="1" s="1"/>
  <c r="G164" i="1" s="1"/>
  <c r="F165" i="1" s="1"/>
  <c r="G165" i="1" s="1"/>
  <c r="F166" i="1" s="1"/>
  <c r="G166" i="1" s="1"/>
  <c r="F167" i="1" s="1"/>
  <c r="G167" i="1" s="1"/>
  <c r="F168" i="1" s="1"/>
  <c r="G168" i="1" s="1"/>
  <c r="F169" i="1" s="1"/>
  <c r="G169" i="1" s="1"/>
  <c r="F170" i="1" s="1"/>
  <c r="G170" i="1" s="1"/>
  <c r="F171" i="1" s="1"/>
  <c r="G171" i="1" s="1"/>
  <c r="F172" i="1" s="1"/>
  <c r="G172" i="1" s="1"/>
  <c r="F173" i="1" s="1"/>
  <c r="G173" i="1" s="1"/>
  <c r="F174" i="1" s="1"/>
  <c r="G174" i="1" s="1"/>
  <c r="F175" i="1" s="1"/>
  <c r="G175" i="1" s="1"/>
  <c r="F176" i="1" s="1"/>
  <c r="G176" i="1" s="1"/>
  <c r="F177" i="1" s="1"/>
  <c r="G177" i="1" s="1"/>
  <c r="F178" i="1" s="1"/>
  <c r="G178" i="1" s="1"/>
  <c r="F179" i="1" s="1"/>
  <c r="G179" i="1" s="1"/>
  <c r="F180" i="1" s="1"/>
  <c r="G180" i="1" s="1"/>
  <c r="F181" i="1" s="1"/>
  <c r="G181" i="1" s="1"/>
  <c r="F182" i="1" s="1"/>
  <c r="G182" i="1" s="1"/>
  <c r="F183" i="1" s="1"/>
  <c r="G183" i="1" s="1"/>
  <c r="F184" i="1" s="1"/>
  <c r="G184" i="1" s="1"/>
  <c r="F185" i="1" s="1"/>
  <c r="G185" i="1" s="1"/>
  <c r="F186" i="1" s="1"/>
  <c r="G186" i="1" s="1"/>
  <c r="F187" i="1" s="1"/>
  <c r="G187" i="1" s="1"/>
  <c r="G4" i="1" l="1"/>
  <c r="F5" i="1" s="1"/>
  <c r="G5" i="1" s="1"/>
  <c r="F6" i="1" s="1"/>
  <c r="G6" i="1" s="1"/>
  <c r="F7" i="1" s="1"/>
  <c r="G7" i="1" s="1"/>
  <c r="F8" i="1" s="1"/>
  <c r="G8" i="1" s="1"/>
  <c r="F9" i="1" s="1"/>
  <c r="G9" i="1" s="1"/>
  <c r="F10" i="1" s="1"/>
  <c r="G10" i="1" s="1"/>
  <c r="F11" i="1" s="1"/>
  <c r="G11" i="1" s="1"/>
  <c r="F12" i="1" s="1"/>
  <c r="G12" i="1" s="1"/>
  <c r="F13" i="1" s="1"/>
  <c r="G13" i="1" s="1"/>
  <c r="F14" i="1" s="1"/>
  <c r="G14" i="1" s="1"/>
  <c r="F15" i="1" s="1"/>
  <c r="G15" i="1" s="1"/>
  <c r="F16" i="1" s="1"/>
  <c r="G16" i="1" s="1"/>
  <c r="F17" i="1" s="1"/>
  <c r="G17" i="1" s="1"/>
  <c r="F18" i="1" s="1"/>
  <c r="G18" i="1" s="1"/>
  <c r="F19" i="1" s="1"/>
  <c r="G19" i="1" s="1"/>
  <c r="F20" i="1" s="1"/>
  <c r="G20" i="1" s="1"/>
  <c r="F21" i="1" s="1"/>
  <c r="G21" i="1" s="1"/>
  <c r="F22" i="1" s="1"/>
  <c r="G22" i="1" s="1"/>
  <c r="F23" i="1" s="1"/>
  <c r="G23" i="1" s="1"/>
  <c r="F24" i="1" s="1"/>
  <c r="G24" i="1" s="1"/>
  <c r="F25" i="1" s="1"/>
  <c r="G25" i="1" s="1"/>
  <c r="F26" i="1" s="1"/>
  <c r="G26" i="1" s="1"/>
  <c r="F27" i="1" s="1"/>
  <c r="G27" i="1" s="1"/>
  <c r="F28" i="1" s="1"/>
  <c r="G28" i="1" s="1"/>
  <c r="F29" i="1" s="1"/>
  <c r="G29" i="1" s="1"/>
  <c r="F30" i="1" s="1"/>
  <c r="G30" i="1" s="1"/>
  <c r="F31" i="1" s="1"/>
  <c r="G31" i="1" s="1"/>
  <c r="F32" i="1" s="1"/>
  <c r="G32" i="1" s="1"/>
  <c r="F33" i="1" s="1"/>
  <c r="G33" i="1" s="1"/>
  <c r="F34" i="1" s="1"/>
  <c r="G34" i="1" s="1"/>
  <c r="F35" i="1" s="1"/>
  <c r="G35" i="1" s="1"/>
  <c r="F36" i="1" s="1"/>
  <c r="G36" i="1" s="1"/>
  <c r="F37" i="1" s="1"/>
  <c r="G37" i="1" s="1"/>
  <c r="F38" i="1" s="1"/>
  <c r="G38" i="1" s="1"/>
  <c r="F39" i="1" s="1"/>
  <c r="G39" i="1" s="1"/>
  <c r="F40" i="1" s="1"/>
  <c r="G40" i="1" s="1"/>
  <c r="F41" i="1" s="1"/>
  <c r="G41" i="1" s="1"/>
</calcChain>
</file>

<file path=xl/sharedStrings.xml><?xml version="1.0" encoding="utf-8"?>
<sst xmlns="http://schemas.openxmlformats.org/spreadsheetml/2006/main" count="812" uniqueCount="425">
  <si>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</si>
  <si>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</si>
  <si>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</si>
  <si>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</si>
  <si>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</si>
  <si>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</si>
  <si>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</si>
  <si>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</si>
  <si>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Sample Sg/Sb No.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</si>
  <si>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</si>
  <si>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</si>
  <si>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</si>
  <si>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</si>
  <si>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</si>
  <si>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</si>
  <si>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</si>
  <si>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</si>
  <si>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</si>
  <si>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</si>
  <si>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</si>
  <si>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</si>
  <si>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</si>
  <si>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</si>
  <si>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</si>
  <si>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</si>
  <si>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</si>
  <si>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</si>
  <si>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</si>
  <si>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</si>
  <si>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</si>
  <si>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</si>
  <si>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</si>
  <si>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</si>
  <si>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Sex</t>
  </si>
  <si>
    <t>Age</t>
  </si>
  <si>
    <t>Current Weekly Status (CWS)</t>
  </si>
  <si>
    <t>Industry Code (CWS)</t>
  </si>
  <si>
    <t>Remarks</t>
  </si>
  <si>
    <t>File Identification</t>
  </si>
  <si>
    <t>State Code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</si>
  <si>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</si>
  <si>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</si>
  <si>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</si>
  <si>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</si>
  <si>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</si>
  <si>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</si>
  <si>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</si>
  <si>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</si>
  <si>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</si>
  <si>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</si>
  <si>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</si>
  <si>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</si>
  <si>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</si>
  <si>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</si>
  <si>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</si>
  <si>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</si>
  <si>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</si>
  <si>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</si>
  <si>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</si>
  <si>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</si>
  <si>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</si>
  <si>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</si>
  <si>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</si>
  <si>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</si>
  <si>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</si>
  <si>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</si>
  <si>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</si>
  <si>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</si>
  <si>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</si>
  <si>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</si>
  <si>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</si>
  <si>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</si>
  <si>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</si>
  <si>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</si>
  <si>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</si>
  <si>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</si>
  <si>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</si>
  <si>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</si>
  <si>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</si>
  <si>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</si>
  <si>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</si>
  <si>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</si>
  <si>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</si>
  <si>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</si>
  <si>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</si>
  <si>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</si>
  <si>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</si>
  <si>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</si>
  <si>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</si>
  <si>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</si>
  <si>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</si>
  <si>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</si>
  <si>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</si>
  <si>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</si>
  <si>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</si>
  <si>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</si>
  <si>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</si>
  <si>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</si>
  <si>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</si>
  <si>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</si>
  <si>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</si>
  <si>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</si>
  <si>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34</t>
  </si>
  <si>
    <t>35</t>
  </si>
  <si>
    <t>36</t>
  </si>
  <si>
    <t>Telangana</t>
  </si>
  <si>
    <t>FSU</t>
  </si>
  <si>
    <t>NSC</t>
  </si>
  <si>
    <t>NSS</t>
  </si>
  <si>
    <t>Ns count for sector x stratum x substratum</t>
  </si>
  <si>
    <t>Ns count for sector x stratum x substratum x sub-sample</t>
  </si>
  <si>
    <t>Sub-sample wise Multiplier</t>
  </si>
  <si>
    <t>MULT</t>
  </si>
  <si>
    <t>Item /Col.</t>
  </si>
  <si>
    <t>District Code</t>
  </si>
  <si>
    <t>Household's usual consumer Expenditure in A Month for purposes out of Goods and Services(Rs.)</t>
  </si>
  <si>
    <t>Imputed value of usual consumption in a month out of Home Grown stock (Rs.)</t>
  </si>
  <si>
    <t>Imputed value of usual consumption in a Month from wages in kind,free collection, gifts etc. (Rs.)</t>
  </si>
  <si>
    <t>Household's Annual Expenditure on purchase of items like clothing, footwear etc.(Rs.)</t>
  </si>
  <si>
    <t>Household's Annual Expenditure on purchase of durables like Bedstead, TV, fridge etc.(Rs.)</t>
  </si>
  <si>
    <t>Panel</t>
  </si>
  <si>
    <t>General Educaion Level</t>
  </si>
  <si>
    <t>Occupation Code (CWS)</t>
  </si>
  <si>
    <t>Uttarakhand</t>
  </si>
  <si>
    <t>D &amp; N. Haveli &amp; Daman &amp; Diu</t>
  </si>
  <si>
    <t>Tamilnadu</t>
  </si>
  <si>
    <t>Puduchery</t>
  </si>
  <si>
    <t>Andaman &amp; N. Island</t>
  </si>
  <si>
    <t>37</t>
  </si>
  <si>
    <t>Ladakh</t>
  </si>
  <si>
    <t>No_Qtr</t>
  </si>
  <si>
    <t>Relationship To Head</t>
  </si>
  <si>
    <t>Marital Status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</si>
  <si>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</si>
  <si>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</si>
  <si>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</si>
  <si>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</si>
  <si>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</si>
  <si>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</si>
  <si>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</si>
  <si>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</si>
  <si>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</si>
  <si>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</si>
  <si>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Industry Code (NIC)</t>
  </si>
  <si>
    <t>Occupation Code (NCO)</t>
  </si>
  <si>
    <t>Whether Engaged In Any Work In Subsidiary Capacity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</si>
  <si>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</si>
  <si>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</si>
  <si>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</si>
  <si>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</si>
  <si>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</si>
  <si>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</si>
  <si>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(Principal) Usage of product of the economic activity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</si>
  <si>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</si>
  <si>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</si>
  <si>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</si>
  <si>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</si>
  <si>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</si>
  <si>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</si>
  <si>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(Subsidiary) Usage of product of the economic activity</t>
  </si>
  <si>
    <t>Ever Worked Prior to last 365 days</t>
  </si>
  <si>
    <t>Duration of engagement in the economic activity in usual Principal Activity Status</t>
  </si>
  <si>
    <t>Duration of engagement in the economic activity in Subsidiary Activity Status</t>
  </si>
  <si>
    <t>Efforts undertaken to search work</t>
  </si>
  <si>
    <t>Duration of spell of Unemployment</t>
  </si>
  <si>
    <t xml:space="preserve">Whether Ever Worked </t>
  </si>
  <si>
    <t xml:space="preserve"> Reason for not working in last 365 days</t>
  </si>
  <si>
    <t xml:space="preserve">Main reason for being in Principal activity status (91 to 97) </t>
  </si>
  <si>
    <t>Status Code for activity 1</t>
  </si>
  <si>
    <t>4/3.1</t>
  </si>
  <si>
    <t>Industry Code (NIC) for activity 1</t>
  </si>
  <si>
    <t>5/3.1</t>
  </si>
  <si>
    <t>hours actuallly worked for activity 1 on 7 th day</t>
  </si>
  <si>
    <t>6/3.1</t>
  </si>
  <si>
    <t>wage earning for activity 1 on 7 th day</t>
  </si>
  <si>
    <t>9/3.1</t>
  </si>
  <si>
    <t>Status Code for activity 2</t>
  </si>
  <si>
    <t>Industry Code (NIC) for activity 2</t>
  </si>
  <si>
    <t>hours actuallly worked for activity 2 on 7 th day</t>
  </si>
  <si>
    <t>wage earning for activity 2 on 7 th day</t>
  </si>
  <si>
    <t>total hours actually worked on 7th day</t>
  </si>
  <si>
    <t>7/3.1</t>
  </si>
  <si>
    <t>hours available for aditional worked on 7th day</t>
  </si>
  <si>
    <t>8/3.1</t>
  </si>
  <si>
    <t>4/3.2</t>
  </si>
  <si>
    <t>5/3.2</t>
  </si>
  <si>
    <t>hours actuallly worked for activity 1 on 6 th day</t>
  </si>
  <si>
    <t>6/3.2</t>
  </si>
  <si>
    <t>9/3.2</t>
  </si>
  <si>
    <t>hours actuallly worked for activity 2 on 6 th day</t>
  </si>
  <si>
    <t>wage earning for activity 2 on 6 th day</t>
  </si>
  <si>
    <t>total hours actually worked on 6th day</t>
  </si>
  <si>
    <t>7/3.2</t>
  </si>
  <si>
    <t>hours available for aditional worked on 6th day</t>
  </si>
  <si>
    <t>8/3.2</t>
  </si>
  <si>
    <t>4/3.3</t>
  </si>
  <si>
    <t>5/3.3</t>
  </si>
  <si>
    <t>hours actuallly worked for activity 1 on5 th day</t>
  </si>
  <si>
    <t>6/3.3</t>
  </si>
  <si>
    <t>wage earning for activity 1 on 5 th day</t>
  </si>
  <si>
    <t>9/3.3</t>
  </si>
  <si>
    <t>hours actuallly worked for activity 2 on 5 th day</t>
  </si>
  <si>
    <t>wage earning for activity 2 on 5 th day</t>
  </si>
  <si>
    <t>total hours actually worked on 5th day</t>
  </si>
  <si>
    <t>7/3.3</t>
  </si>
  <si>
    <t>hours available for aditional worked on 5th day</t>
  </si>
  <si>
    <t>8/3.3</t>
  </si>
  <si>
    <t>4/3.4</t>
  </si>
  <si>
    <t>5/3.4</t>
  </si>
  <si>
    <t>hours actuallly worked for activity 1 on 4th day</t>
  </si>
  <si>
    <t>6/3.4</t>
  </si>
  <si>
    <t>wage earning for activity 1 on 4th day</t>
  </si>
  <si>
    <t>9/3.4</t>
  </si>
  <si>
    <t>hours actuallly worked for activity 2 on 4th day</t>
  </si>
  <si>
    <t>wage earning for activity 2 on 4th day</t>
  </si>
  <si>
    <t>total hours actually worked on 4th day</t>
  </si>
  <si>
    <t>7/3.4</t>
  </si>
  <si>
    <t>hours available for aditional worked on 4th day</t>
  </si>
  <si>
    <t>8/3.4</t>
  </si>
  <si>
    <t>4/3.5</t>
  </si>
  <si>
    <t>5/3.5</t>
  </si>
  <si>
    <t>hours actuallly worked for activity 1 on 3rd day</t>
  </si>
  <si>
    <t>6/3.5</t>
  </si>
  <si>
    <t>wage earning for activity 1 on 3rd day</t>
  </si>
  <si>
    <t>9/3.5</t>
  </si>
  <si>
    <t>hours actuallly worked for activity 2 on 3rd day</t>
  </si>
  <si>
    <t>wage earning for activity 2 on 3 rd day</t>
  </si>
  <si>
    <t>total hours actually worked on 3rd day</t>
  </si>
  <si>
    <t>7/3.5</t>
  </si>
  <si>
    <t>hours available for aditional worked on 3rd day</t>
  </si>
  <si>
    <t>8/3.5</t>
  </si>
  <si>
    <t>4/3.6</t>
  </si>
  <si>
    <t>5/3.6</t>
  </si>
  <si>
    <t>hours actuallly worked for activity 1 on 2nd day</t>
  </si>
  <si>
    <t>6/3.6</t>
  </si>
  <si>
    <t>wage earning for activity 1 on 2nd day</t>
  </si>
  <si>
    <t>9/3.6</t>
  </si>
  <si>
    <t>hours actuallly worked for activity 2 on 2nd day</t>
  </si>
  <si>
    <t>wage earning for activity 2 on 2nd day</t>
  </si>
  <si>
    <t>total hours actually worked on 2nd day</t>
  </si>
  <si>
    <t>7/3.6</t>
  </si>
  <si>
    <t>hours available for aditional worked on 2nd day</t>
  </si>
  <si>
    <t>8/3.6</t>
  </si>
  <si>
    <t>4/3.7</t>
  </si>
  <si>
    <t>5/3.7</t>
  </si>
  <si>
    <t>hours actuallly worked for activity 1 on 1st day</t>
  </si>
  <si>
    <t>6/3.7</t>
  </si>
  <si>
    <t>wage earning for activity 1 on 1st day</t>
  </si>
  <si>
    <t>9/3.7</t>
  </si>
  <si>
    <t>hours actuallly worked for activity 2 on 1st day</t>
  </si>
  <si>
    <t>wage earning for activity 2 on 1st day</t>
  </si>
  <si>
    <t>total hours actually worked on 1st day</t>
  </si>
  <si>
    <t>7/3.7</t>
  </si>
  <si>
    <t>hours available for aditional worked on 1st day</t>
  </si>
  <si>
    <t>8/3.7</t>
  </si>
  <si>
    <t>Earnings For Regular Salaried/Wage Activity</t>
  </si>
  <si>
    <t>Earnings For Self Employed</t>
  </si>
  <si>
    <t>File: CHHV1.txt  (HOUSEHOLD LEVEL-FIRST VISIT)         RECORD LENTH:129+1</t>
  </si>
  <si>
    <t xml:space="preserve"> File: CPERV1.txt (PERSON LEVEL-FIRST VISIT)         RECORD LENGTH:333+1</t>
  </si>
  <si>
    <t>PLFS HOUSEHOLD LEVEL DATA OF CALENDAR YEAR 2024</t>
  </si>
  <si>
    <t>P4</t>
  </si>
  <si>
    <t>CFVH4</t>
  </si>
  <si>
    <t>Q3,Q4,Q5,Q6</t>
  </si>
  <si>
    <t>PLFS PERSON LEVEL DATA OF CALENDAR YEAR  2024</t>
  </si>
  <si>
    <t>count of contributing samples for State x Sector x Stratum x Sub-Stratum in 4 Quarters</t>
  </si>
  <si>
    <t>PANEL</t>
  </si>
  <si>
    <t>FILE_ID</t>
  </si>
  <si>
    <t>SCH</t>
  </si>
  <si>
    <t>QTR</t>
  </si>
  <si>
    <t>VISIT</t>
  </si>
  <si>
    <t>SEC</t>
  </si>
  <si>
    <t>ST</t>
  </si>
  <si>
    <t>DC</t>
  </si>
  <si>
    <t>NSS_REG</t>
  </si>
  <si>
    <t>STRM</t>
  </si>
  <si>
    <t>SSTRM</t>
  </si>
  <si>
    <t>SS</t>
  </si>
  <si>
    <t>SRO</t>
  </si>
  <si>
    <t>MFSU</t>
  </si>
  <si>
    <t>SEG</t>
  </si>
  <si>
    <t>SSS</t>
  </si>
  <si>
    <t>SSU</t>
  </si>
  <si>
    <t>SMONTH</t>
  </si>
  <si>
    <t>RESP_CODE</t>
  </si>
  <si>
    <t>SVC</t>
  </si>
  <si>
    <t>REA_SUB</t>
  </si>
  <si>
    <t>HH_SIZE</t>
  </si>
  <si>
    <t>HHTYPE</t>
  </si>
  <si>
    <t>RELG</t>
  </si>
  <si>
    <t>SG</t>
  </si>
  <si>
    <t>HCE1</t>
  </si>
  <si>
    <t>HCE2</t>
  </si>
  <si>
    <t>HCE3</t>
  </si>
  <si>
    <t>HCE4</t>
  </si>
  <si>
    <t>HCE5</t>
  </si>
  <si>
    <t>HCE_TOT</t>
  </si>
  <si>
    <t>INF_SRL</t>
  </si>
  <si>
    <t>SUR_DATE</t>
  </si>
  <si>
    <t>SUR_TIME</t>
  </si>
  <si>
    <t>NO_QTR</t>
  </si>
  <si>
    <t>SRL</t>
  </si>
  <si>
    <t>REL</t>
  </si>
  <si>
    <t>SEX</t>
  </si>
  <si>
    <t>AGE</t>
  </si>
  <si>
    <t>MARST</t>
  </si>
  <si>
    <t>GEDU_LVL</t>
  </si>
  <si>
    <t>TEDU_LVL</t>
  </si>
  <si>
    <t>FORM_EDU</t>
  </si>
  <si>
    <t>CURR_ATT</t>
  </si>
  <si>
    <t>VOC</t>
  </si>
  <si>
    <t>VOC_COMPL</t>
  </si>
  <si>
    <t>VOC_FLD</t>
  </si>
  <si>
    <t>VOC_DUR</t>
  </si>
  <si>
    <t>VOC_TYP</t>
  </si>
  <si>
    <t>VOC_FUND</t>
  </si>
  <si>
    <t>PAS</t>
  </si>
  <si>
    <t>IND_PAS</t>
  </si>
  <si>
    <t>OCU_PAS</t>
  </si>
  <si>
    <t>HAS_SAS</t>
  </si>
  <si>
    <t>LOC_PAS</t>
  </si>
  <si>
    <t>ETYP_PAS</t>
  </si>
  <si>
    <t>WRKR_PAS</t>
  </si>
  <si>
    <t>JOB_PAS</t>
  </si>
  <si>
    <t>LEAVE_PAS</t>
  </si>
  <si>
    <t>SSEC_PAS</t>
  </si>
  <si>
    <t>ECOPRD_PAS</t>
  </si>
  <si>
    <t>SAS</t>
  </si>
  <si>
    <t>IND_SAS</t>
  </si>
  <si>
    <t>OCU_SAS</t>
  </si>
  <si>
    <t>LOC_SAS</t>
  </si>
  <si>
    <t>ETYP_SAS</t>
  </si>
  <si>
    <t>WRKR_SAS</t>
  </si>
  <si>
    <t>JOB_SAS</t>
  </si>
  <si>
    <t>LEAVE_SAS</t>
  </si>
  <si>
    <t>SSEC_SAS</t>
  </si>
  <si>
    <t>ECOPRD_SAS</t>
  </si>
  <si>
    <t>WRK_365</t>
  </si>
  <si>
    <t>DUR_PAS</t>
  </si>
  <si>
    <t>DUR_SAS</t>
  </si>
  <si>
    <t>EFF_PAS</t>
  </si>
  <si>
    <t>DUR_UNP</t>
  </si>
  <si>
    <t>EVR_WRK</t>
  </si>
  <si>
    <t>REA_NW</t>
  </si>
  <si>
    <t>REA</t>
  </si>
  <si>
    <t>DAS17</t>
  </si>
  <si>
    <t>IND17</t>
  </si>
  <si>
    <t>HR17</t>
  </si>
  <si>
    <t>ERN17</t>
  </si>
  <si>
    <t>DAS27</t>
  </si>
  <si>
    <t>IND27</t>
  </si>
  <si>
    <t>HR27</t>
  </si>
  <si>
    <t>ERN27</t>
  </si>
  <si>
    <t>HR7</t>
  </si>
  <si>
    <t>AHR7</t>
  </si>
  <si>
    <t>DAS16</t>
  </si>
  <si>
    <t>IND16</t>
  </si>
  <si>
    <t>HR16</t>
  </si>
  <si>
    <t>ERN16</t>
  </si>
  <si>
    <t>DAS26</t>
  </si>
  <si>
    <t>IND26</t>
  </si>
  <si>
    <t>HR26</t>
  </si>
  <si>
    <t>ERN26</t>
  </si>
  <si>
    <t>HR6</t>
  </si>
  <si>
    <t>AHR6</t>
  </si>
  <si>
    <t>DAS15</t>
  </si>
  <si>
    <t>IND15</t>
  </si>
  <si>
    <t>HR15</t>
  </si>
  <si>
    <t>ERN15</t>
  </si>
  <si>
    <t>DAS25</t>
  </si>
  <si>
    <t>IND25</t>
  </si>
  <si>
    <t>HR25</t>
  </si>
  <si>
    <t>ERN25</t>
  </si>
  <si>
    <t>HR5</t>
  </si>
  <si>
    <t>AHR5</t>
  </si>
  <si>
    <t>DAS14</t>
  </si>
  <si>
    <t>IND14</t>
  </si>
  <si>
    <t>HR14</t>
  </si>
  <si>
    <t>ERN14</t>
  </si>
  <si>
    <t>DAS24</t>
  </si>
  <si>
    <t>IND24</t>
  </si>
  <si>
    <t>HR24</t>
  </si>
  <si>
    <t>ERN24</t>
  </si>
  <si>
    <t>HR4</t>
  </si>
  <si>
    <t>AHR4</t>
  </si>
  <si>
    <t>DAS13</t>
  </si>
  <si>
    <t>IND13</t>
  </si>
  <si>
    <t>HR13</t>
  </si>
  <si>
    <t>ERN13</t>
  </si>
  <si>
    <t>DAS23</t>
  </si>
  <si>
    <t>IND23</t>
  </si>
  <si>
    <t>HR23</t>
  </si>
  <si>
    <t>ERN23</t>
  </si>
  <si>
    <t>HR3</t>
  </si>
  <si>
    <t>AHR3</t>
  </si>
  <si>
    <t>DAS12</t>
  </si>
  <si>
    <t>IND12</t>
  </si>
  <si>
    <t>HR12</t>
  </si>
  <si>
    <t>ERN12</t>
  </si>
  <si>
    <t>DAS22</t>
  </si>
  <si>
    <t>IND22</t>
  </si>
  <si>
    <t>HR22</t>
  </si>
  <si>
    <t>ERN22</t>
  </si>
  <si>
    <t>HR2</t>
  </si>
  <si>
    <t>AHR2</t>
  </si>
  <si>
    <t>DAS11</t>
  </si>
  <si>
    <t>IND11</t>
  </si>
  <si>
    <t>HR11</t>
  </si>
  <si>
    <t>ERN11</t>
  </si>
  <si>
    <t>DAS21</t>
  </si>
  <si>
    <t>IND21</t>
  </si>
  <si>
    <t>HR21</t>
  </si>
  <si>
    <t>ERN21</t>
  </si>
  <si>
    <t>HR1</t>
  </si>
  <si>
    <t>AHR1</t>
  </si>
  <si>
    <t>ACWS</t>
  </si>
  <si>
    <t>AIND_CWS</t>
  </si>
  <si>
    <t>OCU_CWS</t>
  </si>
  <si>
    <t>ERN_REG</t>
  </si>
  <si>
    <t>ERN_SELF</t>
  </si>
  <si>
    <t>CSV file details for household level data of PLFS calendar Year 2024</t>
  </si>
  <si>
    <t>CSV file details for person level data of PLFS calendar Year 2024</t>
  </si>
  <si>
    <t>State Name &amp; Code used in PLFS Calendar Year 2024</t>
  </si>
  <si>
    <t>CFVP4</t>
  </si>
  <si>
    <t>Field Name</t>
  </si>
  <si>
    <t>Reason for not working in last 365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</si>
</sst>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 tint="0.14999847407452621"/>
      <name val="Times New Roman"/>
      <family val="1"/>
    </font>
    <font>
      <sz val="12"/>
      <color theme="1" tint="0.14999847407452621"/>
      <name val="Times New Roman"/>
      <family val="1"/>
    </font>
    <font>
      <sz val="12"/>
      <name val="Times New Roman"/>
      <family val="1"/>
    </font>
    <font>
      <sz val="16"/>
      <color rgb="FF202A41"/>
      <name val="Poppins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" xfId="0" applyFont="1" applyFill="1" applyBorder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2" borderId="1" xfId="0" quotePrefix="1" applyFont="1" applyFill="1" applyBorder="1" applyAlignment="1">
      <alignment vertical="top" wrapText="1"/>
    </xf>
    <xf numFmtId="0" fontId="3" fillId="0" borderId="0" xfId="0" applyFont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1" fillId="0" borderId="4" xfId="0" applyFont="1" applyBorder="1"/>
    <xf numFmtId="0" fontId="1" fillId="0" borderId="5" xfId="0" applyFont="1" applyBorder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top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0" xfId="0" applyFont="1"/>
    <xf numFmtId="0" fontId="8" fillId="5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quotePrefix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N297"/>
  <sheetViews>
    <sheetView showGridLines="0" tabSelected="1" topLeftCell="B1" zoomScale="112" zoomScaleNormal="112" workbookViewId="0">
      <selection activeCell="B3" sqref="B1:H1048576"/>
    </sheetView>
  </sheetViews>
  <sheetFormatPr defaultColWidth="8.88671875" defaultRowHeight="15.6"/>
  <cols>
    <col min="1" max="1" width="4.44140625" style="19" bestFit="1" customWidth="1"/>
    <col min="2" max="2" width="53.109375" style="19" customWidth="1"/>
    <col min="3" max="3" width="10.5546875" style="19" customWidth="1"/>
    <col min="4" max="4" width="9.6640625" style="19" bestFit="1" customWidth="1"/>
    <col min="5" max="5" width="10.5546875" style="19" customWidth="1"/>
    <col min="6" max="6" width="8.44140625" style="19" customWidth="1"/>
    <col min="7" max="7" width="7.77734375" style="19" customWidth="1"/>
    <col min="8" max="8" width="27.109375" style="19" customWidth="1"/>
    <col min="9" max="170" width="8.88671875" style="3"/>
    <col min="171" max="16384" width="8.88671875" style="1"/>
  </cols>
  <sheetData>
    <row r="1" spans="1:170" s="6" customFormat="1">
      <c r="A1" s="56" t="s">
        <v>259</v>
      </c>
      <c r="B1" s="56"/>
      <c r="C1" s="56"/>
      <c r="D1" s="56"/>
      <c r="E1" s="56"/>
      <c r="F1" s="56"/>
      <c r="G1" s="56"/>
      <c r="H1" s="5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</row>
    <row r="2" spans="1:170">
      <c r="A2" s="57" t="s">
        <v>257</v>
      </c>
      <c r="B2" s="57"/>
      <c r="C2" s="57"/>
      <c r="D2" s="57"/>
      <c r="E2" s="57"/>
      <c r="F2" s="57"/>
      <c r="G2" s="57"/>
      <c r="H2" s="57"/>
    </row>
    <row r="3" spans="1:170" ht="31.2">
      <c r="A3" s="10" t="s">
        <v>0</v>
      </c>
      <c r="B3" s="11" t="s">
        <v>1</v>
      </c>
      <c r="C3" s="12" t="s">
        <v>2</v>
      </c>
      <c r="D3" s="12" t="s">
        <v>113</v>
      </c>
      <c r="E3" s="12" t="s">
        <v>3</v>
      </c>
      <c r="F3" s="58" t="s">
        <v>4</v>
      </c>
      <c r="G3" s="58"/>
      <c r="H3" s="10" t="s">
        <v>37</v>
      </c>
      <c r="J3"/>
      <c r="K3"/>
      <c r="L3"/>
      <c r="O3"/>
      <c r="P3"/>
      <c r="Q3"/>
      <c r="R3"/>
      <c r="S3"/>
    </row>
    <row r="4" spans="1:170">
      <c r="A4" s="13">
        <v>1</v>
      </c>
      <c r="B4" s="24" t="s">
        <v>120</v>
      </c>
      <c r="C4" s="26"/>
      <c r="D4" s="26"/>
      <c r="E4" s="26">
        <v>2</v>
      </c>
      <c r="F4" s="25">
        <v>1</v>
      </c>
      <c r="G4" s="25">
        <f>E4</f>
        <v>2</v>
      </c>
      <c r="H4" s="15" t="s">
        <v>260</v>
      </c>
      <c r="J4"/>
      <c r="K4"/>
      <c r="L4"/>
      <c r="P4"/>
      <c r="Q4"/>
      <c r="R4"/>
      <c r="S4"/>
    </row>
    <row r="5" spans="1:170" ht="15.6" customHeight="1">
      <c r="A5" s="8">
        <v>2</v>
      </c>
      <c r="B5" s="4" t="s">
        <v>38</v>
      </c>
      <c r="C5" s="29"/>
      <c r="D5" s="30"/>
      <c r="E5" s="8">
        <v>5</v>
      </c>
      <c r="F5" s="8">
        <f>G4+1</f>
        <v>3</v>
      </c>
      <c r="G5" s="8">
        <f>F5+E5-1</f>
        <v>7</v>
      </c>
      <c r="H5" s="13" t="s">
        <v>261</v>
      </c>
      <c r="J5"/>
      <c r="K5"/>
      <c r="L5"/>
      <c r="O5"/>
      <c r="P5"/>
      <c r="Q5"/>
      <c r="R5"/>
      <c r="S5"/>
    </row>
    <row r="6" spans="1:170">
      <c r="A6" s="8">
        <v>3</v>
      </c>
      <c r="B6" s="4" t="s">
        <v>23</v>
      </c>
      <c r="C6" s="31">
        <v>1</v>
      </c>
      <c r="D6" s="31">
        <v>2</v>
      </c>
      <c r="E6" s="8">
        <v>3</v>
      </c>
      <c r="F6" s="8">
        <f t="shared" ref="F6:F41" si="0">G5+1</f>
        <v>8</v>
      </c>
      <c r="G6" s="8">
        <f t="shared" ref="G6:G41" si="1">F6+E6-1</f>
        <v>10</v>
      </c>
      <c r="H6" s="17">
        <v>104</v>
      </c>
      <c r="J6"/>
      <c r="K6"/>
      <c r="L6"/>
      <c r="O6"/>
      <c r="P6"/>
      <c r="Q6"/>
      <c r="R6"/>
      <c r="S6"/>
    </row>
    <row r="7" spans="1:170">
      <c r="A7" s="13">
        <v>4</v>
      </c>
      <c r="B7" s="4" t="s">
        <v>5</v>
      </c>
      <c r="C7" s="31"/>
      <c r="D7" s="31"/>
      <c r="E7" s="8">
        <v>2</v>
      </c>
      <c r="F7" s="8">
        <f t="shared" si="0"/>
        <v>11</v>
      </c>
      <c r="G7" s="8">
        <f t="shared" si="1"/>
        <v>12</v>
      </c>
      <c r="H7" s="16" t="s">
        <v>262</v>
      </c>
      <c r="J7"/>
      <c r="K7"/>
      <c r="L7"/>
      <c r="O7"/>
      <c r="P7"/>
      <c r="Q7"/>
      <c r="R7"/>
      <c r="S7"/>
    </row>
    <row r="8" spans="1:170">
      <c r="A8" s="8">
        <v>5</v>
      </c>
      <c r="B8" s="4" t="s">
        <v>6</v>
      </c>
      <c r="C8" s="31"/>
      <c r="D8" s="31"/>
      <c r="E8" s="8">
        <v>2</v>
      </c>
      <c r="F8" s="8">
        <f t="shared" si="0"/>
        <v>13</v>
      </c>
      <c r="G8" s="8">
        <f t="shared" si="1"/>
        <v>14</v>
      </c>
      <c r="H8" s="18"/>
      <c r="J8"/>
      <c r="K8"/>
      <c r="L8"/>
      <c r="O8"/>
      <c r="P8"/>
      <c r="Q8"/>
      <c r="R8"/>
      <c r="S8"/>
    </row>
    <row r="9" spans="1:170">
      <c r="A9" s="8">
        <v>6</v>
      </c>
      <c r="B9" s="4" t="s">
        <v>7</v>
      </c>
      <c r="C9" s="31">
        <v>1</v>
      </c>
      <c r="D9" s="31">
        <v>3</v>
      </c>
      <c r="E9" s="8">
        <v>1</v>
      </c>
      <c r="F9" s="8">
        <f t="shared" si="0"/>
        <v>15</v>
      </c>
      <c r="G9" s="8">
        <f t="shared" si="1"/>
        <v>15</v>
      </c>
      <c r="H9" s="13"/>
      <c r="J9"/>
      <c r="K9"/>
      <c r="L9"/>
      <c r="O9"/>
      <c r="P9"/>
      <c r="Q9"/>
      <c r="R9"/>
      <c r="S9"/>
    </row>
    <row r="10" spans="1:170">
      <c r="A10" s="13">
        <v>7</v>
      </c>
      <c r="B10" s="4" t="s">
        <v>11</v>
      </c>
      <c r="C10" s="31">
        <v>0</v>
      </c>
      <c r="D10" s="31">
        <v>1</v>
      </c>
      <c r="E10" s="8">
        <v>2</v>
      </c>
      <c r="F10" s="8">
        <f t="shared" si="0"/>
        <v>16</v>
      </c>
      <c r="G10" s="8">
        <f t="shared" si="1"/>
        <v>17</v>
      </c>
      <c r="H10" s="13"/>
      <c r="J10"/>
      <c r="K10"/>
      <c r="L10"/>
      <c r="O10"/>
      <c r="P10"/>
      <c r="Q10"/>
      <c r="R10"/>
      <c r="S10"/>
    </row>
    <row r="11" spans="1:170">
      <c r="A11" s="8">
        <v>8</v>
      </c>
      <c r="B11" s="32" t="s">
        <v>114</v>
      </c>
      <c r="C11" s="33">
        <v>1</v>
      </c>
      <c r="D11" s="33">
        <v>4</v>
      </c>
      <c r="E11" s="34">
        <v>2</v>
      </c>
      <c r="F11" s="8">
        <f t="shared" si="0"/>
        <v>18</v>
      </c>
      <c r="G11" s="8">
        <f t="shared" si="1"/>
        <v>19</v>
      </c>
      <c r="H11" s="13"/>
      <c r="J11"/>
      <c r="K11"/>
      <c r="L11"/>
      <c r="O11"/>
      <c r="P11"/>
      <c r="Q11"/>
      <c r="R11"/>
      <c r="S11"/>
    </row>
    <row r="12" spans="1:170">
      <c r="A12" s="8">
        <v>9</v>
      </c>
      <c r="B12" s="32" t="s">
        <v>31</v>
      </c>
      <c r="C12" s="33">
        <v>1</v>
      </c>
      <c r="D12" s="33">
        <v>4</v>
      </c>
      <c r="E12" s="34">
        <v>3</v>
      </c>
      <c r="F12" s="8">
        <f t="shared" si="0"/>
        <v>20</v>
      </c>
      <c r="G12" s="8">
        <f t="shared" si="1"/>
        <v>22</v>
      </c>
      <c r="H12" s="13"/>
      <c r="J12"/>
      <c r="K12"/>
      <c r="L12"/>
      <c r="O12"/>
      <c r="P12"/>
      <c r="Q12"/>
      <c r="R12"/>
      <c r="S12"/>
    </row>
    <row r="13" spans="1:170">
      <c r="A13" s="13">
        <v>10</v>
      </c>
      <c r="B13" s="4" t="s">
        <v>12</v>
      </c>
      <c r="C13" s="31">
        <v>1</v>
      </c>
      <c r="D13" s="31">
        <v>5</v>
      </c>
      <c r="E13" s="8">
        <v>2</v>
      </c>
      <c r="F13" s="8">
        <f t="shared" si="0"/>
        <v>23</v>
      </c>
      <c r="G13" s="8">
        <f t="shared" si="1"/>
        <v>24</v>
      </c>
      <c r="H13" s="13"/>
      <c r="J13"/>
      <c r="K13"/>
      <c r="L13"/>
      <c r="O13"/>
      <c r="P13"/>
      <c r="Q13"/>
      <c r="R13"/>
      <c r="S13"/>
    </row>
    <row r="14" spans="1:170">
      <c r="A14" s="8">
        <v>11</v>
      </c>
      <c r="B14" s="4" t="s">
        <v>13</v>
      </c>
      <c r="C14" s="31">
        <v>1</v>
      </c>
      <c r="D14" s="31">
        <v>6</v>
      </c>
      <c r="E14" s="8">
        <v>2</v>
      </c>
      <c r="F14" s="8">
        <f t="shared" si="0"/>
        <v>25</v>
      </c>
      <c r="G14" s="8">
        <f t="shared" si="1"/>
        <v>26</v>
      </c>
      <c r="H14" s="13"/>
      <c r="J14"/>
      <c r="K14"/>
      <c r="L14"/>
      <c r="O14"/>
      <c r="P14"/>
      <c r="Q14"/>
      <c r="R14"/>
      <c r="S14"/>
    </row>
    <row r="15" spans="1:170">
      <c r="A15" s="8">
        <v>12</v>
      </c>
      <c r="B15" s="4" t="s">
        <v>14</v>
      </c>
      <c r="C15" s="31">
        <v>1</v>
      </c>
      <c r="D15" s="31">
        <v>11</v>
      </c>
      <c r="E15" s="8">
        <v>1</v>
      </c>
      <c r="F15" s="8">
        <f t="shared" si="0"/>
        <v>27</v>
      </c>
      <c r="G15" s="8">
        <f t="shared" si="1"/>
        <v>27</v>
      </c>
      <c r="H15" s="13"/>
      <c r="J15"/>
      <c r="K15"/>
      <c r="L15"/>
      <c r="O15"/>
      <c r="P15"/>
      <c r="Q15"/>
      <c r="R15"/>
      <c r="S15"/>
    </row>
    <row r="16" spans="1:170">
      <c r="A16" s="13">
        <v>13</v>
      </c>
      <c r="B16" s="4" t="s">
        <v>15</v>
      </c>
      <c r="C16" s="29">
        <v>1</v>
      </c>
      <c r="D16" s="29">
        <v>12</v>
      </c>
      <c r="E16" s="8">
        <v>4</v>
      </c>
      <c r="F16" s="8">
        <f t="shared" si="0"/>
        <v>28</v>
      </c>
      <c r="G16" s="8">
        <f t="shared" si="1"/>
        <v>31</v>
      </c>
      <c r="H16" s="13"/>
      <c r="J16"/>
      <c r="K16"/>
      <c r="L16"/>
      <c r="O16"/>
      <c r="P16"/>
      <c r="Q16"/>
      <c r="R16"/>
      <c r="S16"/>
    </row>
    <row r="17" spans="1:170">
      <c r="A17" s="8">
        <v>14</v>
      </c>
      <c r="B17" s="4" t="s">
        <v>106</v>
      </c>
      <c r="C17" s="31">
        <v>1</v>
      </c>
      <c r="D17" s="31">
        <v>1</v>
      </c>
      <c r="E17" s="8">
        <v>5</v>
      </c>
      <c r="F17" s="8">
        <f t="shared" si="0"/>
        <v>32</v>
      </c>
      <c r="G17" s="8">
        <f t="shared" si="1"/>
        <v>36</v>
      </c>
      <c r="H17" s="13"/>
      <c r="J17"/>
      <c r="K17"/>
      <c r="L17"/>
      <c r="O17"/>
      <c r="P17"/>
      <c r="Q17"/>
      <c r="R17"/>
      <c r="S17"/>
    </row>
    <row r="18" spans="1:170">
      <c r="A18" s="8">
        <v>15</v>
      </c>
      <c r="B18" s="4" t="s">
        <v>8</v>
      </c>
      <c r="C18" s="31">
        <v>1</v>
      </c>
      <c r="D18" s="31">
        <v>13</v>
      </c>
      <c r="E18" s="8">
        <v>1</v>
      </c>
      <c r="F18" s="8">
        <f t="shared" si="0"/>
        <v>37</v>
      </c>
      <c r="G18" s="8">
        <f t="shared" si="1"/>
        <v>37</v>
      </c>
      <c r="H18" s="13"/>
      <c r="J18"/>
      <c r="K18"/>
      <c r="L18"/>
      <c r="O18"/>
      <c r="P18"/>
      <c r="Q18"/>
      <c r="R18"/>
      <c r="S18"/>
    </row>
    <row r="19" spans="1:170">
      <c r="A19" s="13">
        <v>16</v>
      </c>
      <c r="B19" s="4" t="s">
        <v>9</v>
      </c>
      <c r="C19" s="31">
        <v>1</v>
      </c>
      <c r="D19" s="31">
        <v>14</v>
      </c>
      <c r="E19" s="8">
        <v>1</v>
      </c>
      <c r="F19" s="8">
        <f t="shared" si="0"/>
        <v>38</v>
      </c>
      <c r="G19" s="8">
        <f t="shared" si="1"/>
        <v>38</v>
      </c>
      <c r="H19" s="13"/>
      <c r="J19"/>
      <c r="K19"/>
      <c r="L19"/>
      <c r="O19"/>
      <c r="P19"/>
      <c r="Q19"/>
      <c r="R19"/>
      <c r="S19"/>
    </row>
    <row r="20" spans="1:170">
      <c r="A20" s="8">
        <v>17</v>
      </c>
      <c r="B20" s="4" t="s">
        <v>10</v>
      </c>
      <c r="C20" s="31">
        <v>1</v>
      </c>
      <c r="D20" s="31">
        <v>15</v>
      </c>
      <c r="E20" s="8">
        <v>2</v>
      </c>
      <c r="F20" s="8">
        <f t="shared" si="0"/>
        <v>39</v>
      </c>
      <c r="G20" s="8">
        <f t="shared" si="1"/>
        <v>40</v>
      </c>
      <c r="H20" s="13"/>
      <c r="J20"/>
      <c r="K20"/>
      <c r="L20"/>
      <c r="O20"/>
      <c r="P20"/>
      <c r="Q20"/>
      <c r="R20"/>
      <c r="S20"/>
    </row>
    <row r="21" spans="1:170">
      <c r="A21" s="8">
        <v>18</v>
      </c>
      <c r="B21" s="4" t="s">
        <v>24</v>
      </c>
      <c r="C21" s="31">
        <v>1</v>
      </c>
      <c r="D21" s="31">
        <v>9</v>
      </c>
      <c r="E21" s="8">
        <v>2</v>
      </c>
      <c r="F21" s="8">
        <f t="shared" si="0"/>
        <v>41</v>
      </c>
      <c r="G21" s="8">
        <f t="shared" si="1"/>
        <v>42</v>
      </c>
      <c r="H21" s="13"/>
      <c r="J21"/>
      <c r="K21"/>
      <c r="L21"/>
      <c r="O21"/>
      <c r="P21"/>
      <c r="Q21"/>
      <c r="R21"/>
      <c r="S21"/>
    </row>
    <row r="22" spans="1:170">
      <c r="A22" s="13">
        <v>19</v>
      </c>
      <c r="B22" s="4" t="s">
        <v>25</v>
      </c>
      <c r="C22" s="31">
        <v>1</v>
      </c>
      <c r="D22" s="31">
        <v>17</v>
      </c>
      <c r="E22" s="8">
        <v>1</v>
      </c>
      <c r="F22" s="8">
        <f t="shared" si="0"/>
        <v>43</v>
      </c>
      <c r="G22" s="8">
        <f t="shared" si="1"/>
        <v>43</v>
      </c>
      <c r="H22" s="13"/>
      <c r="J22"/>
      <c r="K22"/>
      <c r="L22"/>
      <c r="O22"/>
      <c r="P22"/>
      <c r="Q22"/>
      <c r="R22"/>
      <c r="S22"/>
    </row>
    <row r="23" spans="1:170">
      <c r="A23" s="8">
        <v>20</v>
      </c>
      <c r="B23" s="4" t="s">
        <v>16</v>
      </c>
      <c r="C23" s="31">
        <v>1</v>
      </c>
      <c r="D23" s="31">
        <v>18</v>
      </c>
      <c r="E23" s="8">
        <v>1</v>
      </c>
      <c r="F23" s="8">
        <f t="shared" si="0"/>
        <v>44</v>
      </c>
      <c r="G23" s="8">
        <f t="shared" si="1"/>
        <v>44</v>
      </c>
      <c r="H23" s="13"/>
      <c r="J23"/>
      <c r="K23"/>
      <c r="L23"/>
      <c r="O23"/>
      <c r="P23"/>
      <c r="Q23"/>
      <c r="R23"/>
      <c r="S23"/>
    </row>
    <row r="24" spans="1:170">
      <c r="A24" s="8">
        <v>21</v>
      </c>
      <c r="B24" s="4" t="s">
        <v>27</v>
      </c>
      <c r="C24" s="31">
        <v>1</v>
      </c>
      <c r="D24" s="31">
        <v>19</v>
      </c>
      <c r="E24" s="8">
        <v>1</v>
      </c>
      <c r="F24" s="8">
        <f t="shared" si="0"/>
        <v>45</v>
      </c>
      <c r="G24" s="8">
        <f t="shared" si="1"/>
        <v>45</v>
      </c>
      <c r="H24" s="13"/>
      <c r="J24"/>
      <c r="K24"/>
      <c r="L24"/>
      <c r="O24"/>
      <c r="P24"/>
      <c r="Q24"/>
      <c r="R24"/>
      <c r="S24"/>
    </row>
    <row r="25" spans="1:170">
      <c r="A25" s="13">
        <v>22</v>
      </c>
      <c r="B25" s="4" t="s">
        <v>18</v>
      </c>
      <c r="C25" s="31">
        <v>3</v>
      </c>
      <c r="D25" s="31">
        <v>1</v>
      </c>
      <c r="E25" s="8">
        <v>2</v>
      </c>
      <c r="F25" s="8">
        <f t="shared" si="0"/>
        <v>46</v>
      </c>
      <c r="G25" s="8">
        <f t="shared" si="1"/>
        <v>47</v>
      </c>
      <c r="H25" s="13"/>
      <c r="J25"/>
      <c r="K25"/>
      <c r="L25"/>
      <c r="O25"/>
      <c r="P25"/>
      <c r="Q25"/>
      <c r="R25"/>
      <c r="S25"/>
    </row>
    <row r="26" spans="1:170">
      <c r="A26" s="8">
        <v>23</v>
      </c>
      <c r="B26" s="4" t="s">
        <v>19</v>
      </c>
      <c r="C26" s="31">
        <v>3</v>
      </c>
      <c r="D26" s="31">
        <v>2</v>
      </c>
      <c r="E26" s="8">
        <v>1</v>
      </c>
      <c r="F26" s="8">
        <f t="shared" si="0"/>
        <v>48</v>
      </c>
      <c r="G26" s="8">
        <f t="shared" si="1"/>
        <v>48</v>
      </c>
      <c r="H26" s="13"/>
      <c r="J26"/>
      <c r="K26"/>
      <c r="L26"/>
      <c r="O26"/>
      <c r="P26"/>
      <c r="Q26"/>
      <c r="R26"/>
      <c r="S26"/>
    </row>
    <row r="27" spans="1:170">
      <c r="A27" s="8">
        <v>24</v>
      </c>
      <c r="B27" s="4" t="s">
        <v>20</v>
      </c>
      <c r="C27" s="31">
        <v>3</v>
      </c>
      <c r="D27" s="31">
        <v>3</v>
      </c>
      <c r="E27" s="8">
        <v>1</v>
      </c>
      <c r="F27" s="8">
        <f t="shared" si="0"/>
        <v>49</v>
      </c>
      <c r="G27" s="8">
        <f t="shared" si="1"/>
        <v>49</v>
      </c>
      <c r="H27" s="13"/>
      <c r="J27"/>
      <c r="K27"/>
      <c r="L27"/>
      <c r="O27"/>
      <c r="P27"/>
      <c r="Q27"/>
      <c r="R27"/>
      <c r="S27"/>
    </row>
    <row r="28" spans="1:170">
      <c r="A28" s="13">
        <v>25</v>
      </c>
      <c r="B28" s="4" t="s">
        <v>21</v>
      </c>
      <c r="C28" s="31">
        <v>3</v>
      </c>
      <c r="D28" s="31">
        <v>4</v>
      </c>
      <c r="E28" s="8">
        <v>1</v>
      </c>
      <c r="F28" s="8">
        <f t="shared" si="0"/>
        <v>50</v>
      </c>
      <c r="G28" s="8">
        <f t="shared" si="1"/>
        <v>50</v>
      </c>
      <c r="H28" s="13"/>
      <c r="J28"/>
      <c r="K28"/>
      <c r="L28"/>
      <c r="O28"/>
      <c r="P28"/>
      <c r="Q28"/>
      <c r="R28"/>
      <c r="S28"/>
    </row>
    <row r="29" spans="1:170" ht="36" customHeight="1">
      <c r="A29" s="8">
        <v>26</v>
      </c>
      <c r="B29" s="30" t="s">
        <v>115</v>
      </c>
      <c r="C29" s="31">
        <v>3</v>
      </c>
      <c r="D29" s="31">
        <v>5.0999999999999996</v>
      </c>
      <c r="E29" s="29">
        <v>8</v>
      </c>
      <c r="F29" s="8">
        <f t="shared" si="0"/>
        <v>51</v>
      </c>
      <c r="G29" s="8">
        <f t="shared" si="1"/>
        <v>58</v>
      </c>
      <c r="H29" s="16"/>
      <c r="J29"/>
      <c r="K29"/>
      <c r="L29"/>
      <c r="O29"/>
      <c r="P29"/>
      <c r="Q29"/>
      <c r="R29"/>
      <c r="S29"/>
    </row>
    <row r="30" spans="1:170" s="8" customFormat="1" ht="31.2">
      <c r="A30" s="8">
        <v>27</v>
      </c>
      <c r="B30" s="30" t="s">
        <v>116</v>
      </c>
      <c r="C30" s="31">
        <v>3</v>
      </c>
      <c r="D30" s="31">
        <v>5.2</v>
      </c>
      <c r="E30" s="29">
        <v>8</v>
      </c>
      <c r="F30" s="8">
        <f t="shared" si="0"/>
        <v>59</v>
      </c>
      <c r="G30" s="8">
        <f t="shared" si="1"/>
        <v>66</v>
      </c>
      <c r="H30" s="16"/>
      <c r="I30" s="7"/>
      <c r="J30"/>
      <c r="K30"/>
      <c r="L30"/>
      <c r="M30" s="3"/>
      <c r="N30" s="3"/>
      <c r="O30"/>
      <c r="P30"/>
      <c r="Q30"/>
      <c r="R30"/>
      <c r="S30"/>
      <c r="T30" s="7"/>
      <c r="U30" s="3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</row>
    <row r="31" spans="1:170" ht="33.75" customHeight="1">
      <c r="A31" s="13">
        <v>28</v>
      </c>
      <c r="B31" s="30" t="s">
        <v>117</v>
      </c>
      <c r="C31" s="31">
        <v>3</v>
      </c>
      <c r="D31" s="31">
        <v>5.3</v>
      </c>
      <c r="E31" s="29">
        <v>8</v>
      </c>
      <c r="F31" s="8">
        <f t="shared" si="0"/>
        <v>67</v>
      </c>
      <c r="G31" s="8">
        <f t="shared" si="1"/>
        <v>74</v>
      </c>
      <c r="H31" s="16"/>
      <c r="J31"/>
      <c r="K31"/>
      <c r="L31"/>
      <c r="O31"/>
      <c r="P31"/>
      <c r="Q31"/>
      <c r="R31"/>
      <c r="S31"/>
    </row>
    <row r="32" spans="1:170" ht="36" customHeight="1">
      <c r="A32" s="8">
        <v>29</v>
      </c>
      <c r="B32" s="30" t="s">
        <v>118</v>
      </c>
      <c r="C32" s="31">
        <v>3</v>
      </c>
      <c r="D32" s="31">
        <v>5.4</v>
      </c>
      <c r="E32" s="29">
        <v>8</v>
      </c>
      <c r="F32" s="8">
        <f t="shared" si="0"/>
        <v>75</v>
      </c>
      <c r="G32" s="8">
        <f t="shared" si="1"/>
        <v>82</v>
      </c>
      <c r="H32" s="16"/>
      <c r="J32"/>
      <c r="K32"/>
      <c r="L32"/>
      <c r="O32"/>
      <c r="P32"/>
      <c r="Q32"/>
      <c r="R32"/>
      <c r="S32"/>
    </row>
    <row r="33" spans="1:20" ht="33.75" customHeight="1">
      <c r="A33" s="8">
        <v>30</v>
      </c>
      <c r="B33" s="30" t="s">
        <v>119</v>
      </c>
      <c r="C33" s="31">
        <v>3</v>
      </c>
      <c r="D33" s="31">
        <v>5.5</v>
      </c>
      <c r="E33" s="29">
        <v>8</v>
      </c>
      <c r="F33" s="8">
        <f t="shared" si="0"/>
        <v>83</v>
      </c>
      <c r="G33" s="8">
        <f t="shared" si="1"/>
        <v>90</v>
      </c>
      <c r="H33" s="16"/>
      <c r="J33"/>
      <c r="K33"/>
      <c r="L33"/>
      <c r="O33"/>
      <c r="P33"/>
      <c r="Q33"/>
      <c r="R33"/>
      <c r="S33"/>
    </row>
    <row r="34" spans="1:20" ht="20.25" customHeight="1">
      <c r="A34" s="13">
        <v>31</v>
      </c>
      <c r="B34" s="36" t="s">
        <v>22</v>
      </c>
      <c r="C34" s="33">
        <v>3</v>
      </c>
      <c r="D34" s="33">
        <v>5.6</v>
      </c>
      <c r="E34" s="35">
        <v>8</v>
      </c>
      <c r="F34" s="8">
        <f t="shared" si="0"/>
        <v>91</v>
      </c>
      <c r="G34" s="8">
        <f t="shared" si="1"/>
        <v>98</v>
      </c>
      <c r="H34" s="16"/>
      <c r="J34"/>
      <c r="K34"/>
      <c r="L34"/>
      <c r="O34"/>
      <c r="P34"/>
      <c r="Q34"/>
      <c r="R34"/>
      <c r="S34"/>
    </row>
    <row r="35" spans="1:20">
      <c r="A35" s="8">
        <v>32</v>
      </c>
      <c r="B35" s="32" t="s">
        <v>26</v>
      </c>
      <c r="C35" s="33">
        <v>1</v>
      </c>
      <c r="D35" s="33">
        <v>16</v>
      </c>
      <c r="E35" s="34">
        <v>2</v>
      </c>
      <c r="F35" s="8">
        <f t="shared" si="0"/>
        <v>99</v>
      </c>
      <c r="G35" s="8">
        <f t="shared" si="1"/>
        <v>100</v>
      </c>
      <c r="H35" s="13"/>
      <c r="J35"/>
      <c r="K35"/>
      <c r="L35"/>
      <c r="O35"/>
      <c r="P35"/>
      <c r="Q35"/>
      <c r="R35"/>
      <c r="S35"/>
    </row>
    <row r="36" spans="1:20" ht="15" customHeight="1">
      <c r="A36" s="8">
        <v>33</v>
      </c>
      <c r="B36" s="32" t="s">
        <v>28</v>
      </c>
      <c r="C36" s="33">
        <v>2</v>
      </c>
      <c r="D36" s="33" t="s">
        <v>29</v>
      </c>
      <c r="E36" s="34">
        <v>8</v>
      </c>
      <c r="F36" s="8">
        <f t="shared" si="0"/>
        <v>101</v>
      </c>
      <c r="G36" s="8">
        <f t="shared" si="1"/>
        <v>108</v>
      </c>
      <c r="H36" s="13"/>
      <c r="J36"/>
      <c r="K36"/>
      <c r="L36"/>
      <c r="O36"/>
      <c r="P36"/>
      <c r="Q36"/>
      <c r="R36"/>
      <c r="S36"/>
    </row>
    <row r="37" spans="1:20">
      <c r="A37" s="13">
        <v>34</v>
      </c>
      <c r="B37" s="32" t="s">
        <v>17</v>
      </c>
      <c r="C37" s="33">
        <v>2</v>
      </c>
      <c r="D37" s="33">
        <v>4</v>
      </c>
      <c r="E37" s="34">
        <v>4</v>
      </c>
      <c r="F37" s="8">
        <f t="shared" si="0"/>
        <v>109</v>
      </c>
      <c r="G37" s="8">
        <f t="shared" si="1"/>
        <v>112</v>
      </c>
      <c r="H37" s="13"/>
      <c r="J37"/>
      <c r="K37"/>
      <c r="L37"/>
      <c r="O37"/>
      <c r="P37"/>
      <c r="Q37"/>
      <c r="R37"/>
      <c r="S37"/>
    </row>
    <row r="38" spans="1:20">
      <c r="A38" s="8">
        <v>35</v>
      </c>
      <c r="B38" s="32" t="s">
        <v>110</v>
      </c>
      <c r="C38" s="33" t="s">
        <v>30</v>
      </c>
      <c r="D38" s="33"/>
      <c r="E38" s="34">
        <v>3</v>
      </c>
      <c r="F38" s="8">
        <f t="shared" si="0"/>
        <v>113</v>
      </c>
      <c r="G38" s="8">
        <f t="shared" si="1"/>
        <v>115</v>
      </c>
      <c r="H38" s="8" t="s">
        <v>108</v>
      </c>
      <c r="J38"/>
      <c r="K38"/>
      <c r="L38"/>
      <c r="O38"/>
      <c r="P38"/>
      <c r="Q38"/>
      <c r="R38"/>
      <c r="S38"/>
    </row>
    <row r="39" spans="1:20">
      <c r="A39" s="8">
        <v>36</v>
      </c>
      <c r="B39" s="32" t="s">
        <v>109</v>
      </c>
      <c r="C39" s="33" t="s">
        <v>30</v>
      </c>
      <c r="D39" s="33"/>
      <c r="E39" s="34">
        <v>3</v>
      </c>
      <c r="F39" s="8">
        <f t="shared" si="0"/>
        <v>116</v>
      </c>
      <c r="G39" s="8">
        <f t="shared" si="1"/>
        <v>118</v>
      </c>
      <c r="H39" s="8" t="s">
        <v>107</v>
      </c>
      <c r="J39"/>
      <c r="K39"/>
      <c r="L39"/>
      <c r="O39"/>
      <c r="P39"/>
      <c r="Q39"/>
      <c r="R39"/>
      <c r="S39"/>
    </row>
    <row r="40" spans="1:20">
      <c r="A40" s="13">
        <v>37</v>
      </c>
      <c r="B40" s="32" t="s">
        <v>111</v>
      </c>
      <c r="C40" s="33" t="s">
        <v>30</v>
      </c>
      <c r="D40" s="33"/>
      <c r="E40" s="34">
        <v>10</v>
      </c>
      <c r="F40" s="8">
        <f t="shared" si="0"/>
        <v>119</v>
      </c>
      <c r="G40" s="8">
        <f t="shared" si="1"/>
        <v>128</v>
      </c>
      <c r="H40" s="8" t="s">
        <v>112</v>
      </c>
      <c r="J40"/>
      <c r="K40"/>
      <c r="L40"/>
      <c r="O40"/>
      <c r="P40"/>
      <c r="Q40"/>
      <c r="R40"/>
      <c r="S40"/>
    </row>
    <row r="41" spans="1:20" ht="31.2">
      <c r="A41" s="8">
        <v>38</v>
      </c>
      <c r="B41" s="32" t="s">
        <v>264</v>
      </c>
      <c r="C41" s="33" t="s">
        <v>30</v>
      </c>
      <c r="D41" s="35"/>
      <c r="E41" s="34">
        <v>1</v>
      </c>
      <c r="F41" s="8">
        <f t="shared" si="0"/>
        <v>129</v>
      </c>
      <c r="G41" s="8">
        <f t="shared" si="1"/>
        <v>129</v>
      </c>
      <c r="H41" s="8" t="s">
        <v>130</v>
      </c>
      <c r="J41"/>
      <c r="K41"/>
      <c r="L41"/>
      <c r="O41"/>
      <c r="P41"/>
      <c r="Q41"/>
      <c r="R41"/>
      <c r="S41"/>
    </row>
    <row r="42" spans="1:20">
      <c r="A42" s="41"/>
      <c r="B42" s="42"/>
      <c r="C42" s="44"/>
      <c r="D42" s="44"/>
      <c r="E42" s="41"/>
      <c r="F42" s="41"/>
      <c r="G42" s="41"/>
      <c r="H42" s="41"/>
    </row>
    <row r="43" spans="1:20">
      <c r="A43" s="41"/>
      <c r="B43" s="42"/>
      <c r="C43" s="44"/>
      <c r="D43" s="44"/>
      <c r="E43" s="41"/>
      <c r="F43" s="41"/>
      <c r="G43" s="41"/>
      <c r="H43" s="41"/>
    </row>
    <row r="44" spans="1:20">
      <c r="A44" s="41"/>
      <c r="B44" s="42"/>
      <c r="C44" s="44"/>
      <c r="D44" s="44"/>
      <c r="E44" s="41"/>
      <c r="F44" s="41"/>
      <c r="G44" s="41"/>
      <c r="H44" s="41"/>
    </row>
    <row r="45" spans="1:20">
      <c r="A45" s="59" t="s">
        <v>263</v>
      </c>
      <c r="B45" s="59"/>
      <c r="C45" s="59"/>
      <c r="D45" s="59"/>
      <c r="E45" s="59"/>
      <c r="F45" s="59"/>
      <c r="G45" s="59"/>
      <c r="H45" s="59"/>
    </row>
    <row r="46" spans="1:20">
      <c r="A46" s="60" t="s">
        <v>258</v>
      </c>
      <c r="B46" s="61"/>
      <c r="C46" s="61"/>
      <c r="D46" s="61"/>
      <c r="E46" s="61"/>
      <c r="F46" s="61"/>
      <c r="G46" s="61"/>
      <c r="H46" s="62"/>
      <c r="P46"/>
      <c r="Q46"/>
      <c r="R46"/>
      <c r="S46"/>
      <c r="T46"/>
    </row>
    <row r="47" spans="1:20" ht="31.2">
      <c r="A47" s="46" t="s">
        <v>0</v>
      </c>
      <c r="B47" s="20" t="s">
        <v>1</v>
      </c>
      <c r="C47" s="21" t="s">
        <v>2</v>
      </c>
      <c r="D47" s="22" t="s">
        <v>113</v>
      </c>
      <c r="E47" s="22" t="s">
        <v>3</v>
      </c>
      <c r="F47" s="53" t="s">
        <v>4</v>
      </c>
      <c r="G47" s="53"/>
      <c r="H47" s="20" t="s">
        <v>37</v>
      </c>
      <c r="J47"/>
      <c r="K47"/>
      <c r="L47"/>
      <c r="O47"/>
      <c r="P47"/>
      <c r="Q47"/>
      <c r="R47"/>
      <c r="S47"/>
      <c r="T47"/>
    </row>
    <row r="48" spans="1:20">
      <c r="A48" s="23">
        <v>1</v>
      </c>
      <c r="B48" s="24" t="s">
        <v>120</v>
      </c>
      <c r="C48" s="26"/>
      <c r="D48" s="26"/>
      <c r="E48" s="26">
        <v>2</v>
      </c>
      <c r="F48" s="25">
        <v>1</v>
      </c>
      <c r="G48" s="25">
        <f>E48</f>
        <v>2</v>
      </c>
      <c r="H48" s="15" t="s">
        <v>260</v>
      </c>
      <c r="J48"/>
      <c r="K48"/>
      <c r="L48"/>
      <c r="O48"/>
      <c r="P48"/>
      <c r="Q48"/>
      <c r="R48"/>
      <c r="S48"/>
      <c r="T48"/>
    </row>
    <row r="49" spans="1:20">
      <c r="A49" s="8">
        <v>2</v>
      </c>
      <c r="B49" s="4" t="s">
        <v>38</v>
      </c>
      <c r="C49" s="54"/>
      <c r="D49" s="55"/>
      <c r="E49" s="8">
        <v>5</v>
      </c>
      <c r="F49" s="8">
        <f>G48+1</f>
        <v>3</v>
      </c>
      <c r="G49" s="8">
        <f>F49+E49-1</f>
        <v>7</v>
      </c>
      <c r="H49" s="13" t="s">
        <v>422</v>
      </c>
      <c r="J49"/>
      <c r="K49"/>
      <c r="L49"/>
      <c r="O49"/>
      <c r="P49"/>
      <c r="Q49"/>
      <c r="R49"/>
      <c r="S49"/>
      <c r="T49"/>
    </row>
    <row r="50" spans="1:20">
      <c r="A50" s="8">
        <v>3</v>
      </c>
      <c r="B50" s="4" t="s">
        <v>23</v>
      </c>
      <c r="C50" s="37">
        <v>1</v>
      </c>
      <c r="D50" s="37">
        <v>2</v>
      </c>
      <c r="E50" s="8">
        <v>3</v>
      </c>
      <c r="F50" s="8">
        <f t="shared" ref="F50:F113" si="2">G49+1</f>
        <v>8</v>
      </c>
      <c r="G50" s="8">
        <f t="shared" ref="G50:G113" si="3">F50+E50-1</f>
        <v>10</v>
      </c>
      <c r="H50" s="17">
        <v>104</v>
      </c>
      <c r="J50"/>
      <c r="K50"/>
      <c r="L50"/>
      <c r="O50"/>
      <c r="P50"/>
      <c r="Q50"/>
      <c r="R50"/>
      <c r="S50"/>
      <c r="T50"/>
    </row>
    <row r="51" spans="1:20">
      <c r="A51" s="8">
        <v>4</v>
      </c>
      <c r="B51" s="4" t="s">
        <v>5</v>
      </c>
      <c r="C51" s="37"/>
      <c r="D51" s="37"/>
      <c r="E51" s="8">
        <v>2</v>
      </c>
      <c r="F51" s="8">
        <f t="shared" si="2"/>
        <v>11</v>
      </c>
      <c r="G51" s="8">
        <f t="shared" si="3"/>
        <v>12</v>
      </c>
      <c r="H51" s="16" t="s">
        <v>262</v>
      </c>
      <c r="J51"/>
      <c r="K51"/>
      <c r="L51"/>
      <c r="O51"/>
      <c r="P51"/>
      <c r="Q51"/>
      <c r="R51"/>
      <c r="S51"/>
      <c r="T51"/>
    </row>
    <row r="52" spans="1:20">
      <c r="A52" s="23">
        <v>5</v>
      </c>
      <c r="B52" s="4" t="s">
        <v>6</v>
      </c>
      <c r="C52" s="37"/>
      <c r="D52" s="37"/>
      <c r="E52" s="8">
        <v>2</v>
      </c>
      <c r="F52" s="8">
        <f t="shared" si="2"/>
        <v>13</v>
      </c>
      <c r="G52" s="8">
        <f t="shared" si="3"/>
        <v>14</v>
      </c>
      <c r="H52" s="14"/>
      <c r="J52"/>
      <c r="K52"/>
      <c r="L52"/>
      <c r="O52"/>
      <c r="P52"/>
      <c r="Q52"/>
      <c r="R52"/>
      <c r="S52"/>
      <c r="T52"/>
    </row>
    <row r="53" spans="1:20">
      <c r="A53" s="8">
        <v>6</v>
      </c>
      <c r="B53" s="4" t="s">
        <v>7</v>
      </c>
      <c r="C53" s="37">
        <v>1</v>
      </c>
      <c r="D53" s="37">
        <v>3</v>
      </c>
      <c r="E53" s="8">
        <v>1</v>
      </c>
      <c r="F53" s="8">
        <f t="shared" si="2"/>
        <v>15</v>
      </c>
      <c r="G53" s="8">
        <f t="shared" si="3"/>
        <v>15</v>
      </c>
      <c r="H53" s="23"/>
      <c r="J53"/>
      <c r="K53"/>
      <c r="L53"/>
      <c r="O53"/>
      <c r="P53"/>
      <c r="Q53"/>
      <c r="R53"/>
      <c r="S53"/>
      <c r="T53"/>
    </row>
    <row r="54" spans="1:20">
      <c r="A54" s="8">
        <v>7</v>
      </c>
      <c r="B54" s="4" t="s">
        <v>11</v>
      </c>
      <c r="C54" s="8"/>
      <c r="D54" s="8"/>
      <c r="E54" s="8">
        <v>2</v>
      </c>
      <c r="F54" s="8">
        <f t="shared" si="2"/>
        <v>16</v>
      </c>
      <c r="G54" s="8">
        <f t="shared" si="3"/>
        <v>17</v>
      </c>
      <c r="H54" s="23"/>
      <c r="J54"/>
      <c r="K54"/>
      <c r="L54"/>
      <c r="O54"/>
      <c r="P54"/>
      <c r="Q54"/>
      <c r="R54"/>
      <c r="S54"/>
      <c r="T54"/>
    </row>
    <row r="55" spans="1:20">
      <c r="A55" s="8">
        <v>8</v>
      </c>
      <c r="B55" s="32" t="s">
        <v>114</v>
      </c>
      <c r="C55" s="33">
        <v>1</v>
      </c>
      <c r="D55" s="33">
        <v>4</v>
      </c>
      <c r="E55" s="8">
        <v>2</v>
      </c>
      <c r="F55" s="8">
        <f t="shared" si="2"/>
        <v>18</v>
      </c>
      <c r="G55" s="8">
        <f t="shared" si="3"/>
        <v>19</v>
      </c>
      <c r="H55" s="23"/>
      <c r="J55"/>
      <c r="K55"/>
      <c r="L55"/>
      <c r="O55"/>
      <c r="P55"/>
      <c r="Q55"/>
      <c r="R55"/>
      <c r="S55"/>
      <c r="T55"/>
    </row>
    <row r="56" spans="1:20">
      <c r="A56" s="23">
        <v>9</v>
      </c>
      <c r="B56" s="32" t="s">
        <v>31</v>
      </c>
      <c r="C56" s="38">
        <v>1</v>
      </c>
      <c r="D56" s="38">
        <v>4</v>
      </c>
      <c r="E56" s="8">
        <v>3</v>
      </c>
      <c r="F56" s="8">
        <f t="shared" si="2"/>
        <v>20</v>
      </c>
      <c r="G56" s="8">
        <f t="shared" si="3"/>
        <v>22</v>
      </c>
      <c r="H56" s="23"/>
      <c r="J56"/>
      <c r="K56"/>
      <c r="L56"/>
      <c r="O56"/>
      <c r="P56"/>
      <c r="Q56"/>
      <c r="R56"/>
      <c r="S56"/>
      <c r="T56"/>
    </row>
    <row r="57" spans="1:20">
      <c r="A57" s="8">
        <v>10</v>
      </c>
      <c r="B57" s="4" t="s">
        <v>12</v>
      </c>
      <c r="C57" s="8">
        <v>1</v>
      </c>
      <c r="D57" s="8">
        <v>5</v>
      </c>
      <c r="E57" s="8">
        <v>2</v>
      </c>
      <c r="F57" s="8">
        <f t="shared" si="2"/>
        <v>23</v>
      </c>
      <c r="G57" s="8">
        <f t="shared" si="3"/>
        <v>24</v>
      </c>
      <c r="H57" s="23"/>
      <c r="J57"/>
      <c r="K57"/>
      <c r="L57"/>
      <c r="O57"/>
      <c r="P57"/>
      <c r="Q57"/>
      <c r="R57"/>
      <c r="S57"/>
      <c r="T57"/>
    </row>
    <row r="58" spans="1:20">
      <c r="A58" s="8">
        <v>11</v>
      </c>
      <c r="B58" s="4" t="s">
        <v>13</v>
      </c>
      <c r="C58" s="8">
        <v>1</v>
      </c>
      <c r="D58" s="8">
        <v>6</v>
      </c>
      <c r="E58" s="8">
        <v>2</v>
      </c>
      <c r="F58" s="8">
        <f t="shared" si="2"/>
        <v>25</v>
      </c>
      <c r="G58" s="8">
        <f t="shared" si="3"/>
        <v>26</v>
      </c>
      <c r="H58" s="23"/>
      <c r="J58"/>
      <c r="K58"/>
      <c r="L58"/>
      <c r="O58"/>
      <c r="P58"/>
      <c r="Q58"/>
      <c r="R58"/>
      <c r="S58"/>
      <c r="T58"/>
    </row>
    <row r="59" spans="1:20">
      <c r="A59" s="8">
        <v>12</v>
      </c>
      <c r="B59" s="4" t="s">
        <v>14</v>
      </c>
      <c r="C59" s="8">
        <v>1</v>
      </c>
      <c r="D59" s="8">
        <v>11</v>
      </c>
      <c r="E59" s="8">
        <v>1</v>
      </c>
      <c r="F59" s="8">
        <f t="shared" si="2"/>
        <v>27</v>
      </c>
      <c r="G59" s="8">
        <f t="shared" si="3"/>
        <v>27</v>
      </c>
      <c r="H59" s="23"/>
      <c r="J59"/>
      <c r="K59"/>
      <c r="L59"/>
      <c r="O59"/>
      <c r="P59"/>
      <c r="Q59"/>
      <c r="R59"/>
      <c r="S59"/>
      <c r="T59"/>
    </row>
    <row r="60" spans="1:20">
      <c r="A60" s="23">
        <v>13</v>
      </c>
      <c r="B60" s="4" t="s">
        <v>15</v>
      </c>
      <c r="C60" s="8">
        <v>1</v>
      </c>
      <c r="D60" s="8">
        <v>12</v>
      </c>
      <c r="E60" s="8">
        <v>4</v>
      </c>
      <c r="F60" s="8">
        <f t="shared" si="2"/>
        <v>28</v>
      </c>
      <c r="G60" s="8">
        <f t="shared" si="3"/>
        <v>31</v>
      </c>
      <c r="H60" s="23"/>
      <c r="J60"/>
      <c r="K60"/>
      <c r="L60"/>
      <c r="O60"/>
      <c r="P60"/>
      <c r="Q60"/>
      <c r="R60"/>
      <c r="S60"/>
      <c r="T60"/>
    </row>
    <row r="61" spans="1:20">
      <c r="A61" s="8">
        <v>14</v>
      </c>
      <c r="B61" s="4" t="s">
        <v>106</v>
      </c>
      <c r="C61" s="8">
        <v>1</v>
      </c>
      <c r="D61" s="8">
        <v>1</v>
      </c>
      <c r="E61" s="8">
        <v>5</v>
      </c>
      <c r="F61" s="8">
        <f t="shared" si="2"/>
        <v>32</v>
      </c>
      <c r="G61" s="8">
        <f t="shared" si="3"/>
        <v>36</v>
      </c>
      <c r="H61" s="23"/>
      <c r="J61"/>
      <c r="K61"/>
      <c r="L61"/>
      <c r="O61"/>
      <c r="P61"/>
      <c r="Q61"/>
      <c r="R61"/>
      <c r="S61"/>
      <c r="T61"/>
    </row>
    <row r="62" spans="1:20">
      <c r="A62" s="8">
        <v>15</v>
      </c>
      <c r="B62" s="4" t="s">
        <v>8</v>
      </c>
      <c r="C62" s="8">
        <v>1</v>
      </c>
      <c r="D62" s="8">
        <v>13</v>
      </c>
      <c r="E62" s="8">
        <v>1</v>
      </c>
      <c r="F62" s="8">
        <f t="shared" si="2"/>
        <v>37</v>
      </c>
      <c r="G62" s="8">
        <f t="shared" si="3"/>
        <v>37</v>
      </c>
      <c r="H62" s="23"/>
      <c r="J62"/>
      <c r="K62"/>
      <c r="L62"/>
      <c r="O62"/>
      <c r="P62"/>
      <c r="Q62"/>
      <c r="R62"/>
      <c r="S62"/>
      <c r="T62"/>
    </row>
    <row r="63" spans="1:20">
      <c r="A63" s="8">
        <v>16</v>
      </c>
      <c r="B63" s="4" t="s">
        <v>9</v>
      </c>
      <c r="C63" s="8">
        <v>1</v>
      </c>
      <c r="D63" s="8">
        <v>14</v>
      </c>
      <c r="E63" s="8">
        <v>1</v>
      </c>
      <c r="F63" s="8">
        <f t="shared" si="2"/>
        <v>38</v>
      </c>
      <c r="G63" s="8">
        <f t="shared" si="3"/>
        <v>38</v>
      </c>
      <c r="H63" s="23"/>
      <c r="J63"/>
      <c r="K63"/>
      <c r="L63"/>
      <c r="O63"/>
      <c r="P63"/>
      <c r="Q63"/>
      <c r="R63"/>
      <c r="S63"/>
      <c r="T63"/>
    </row>
    <row r="64" spans="1:20">
      <c r="A64" s="23">
        <v>17</v>
      </c>
      <c r="B64" s="4" t="s">
        <v>10</v>
      </c>
      <c r="C64" s="8">
        <v>1</v>
      </c>
      <c r="D64" s="8">
        <v>15</v>
      </c>
      <c r="E64" s="8">
        <v>2</v>
      </c>
      <c r="F64" s="8">
        <f t="shared" si="2"/>
        <v>39</v>
      </c>
      <c r="G64" s="8">
        <f t="shared" si="3"/>
        <v>40</v>
      </c>
      <c r="H64" s="23"/>
      <c r="J64"/>
      <c r="K64"/>
      <c r="L64"/>
      <c r="O64"/>
      <c r="P64"/>
      <c r="Q64"/>
      <c r="R64"/>
      <c r="S64"/>
      <c r="T64"/>
    </row>
    <row r="65" spans="1:20">
      <c r="A65" s="8">
        <v>18</v>
      </c>
      <c r="B65" s="4" t="s">
        <v>32</v>
      </c>
      <c r="C65" s="8">
        <v>4</v>
      </c>
      <c r="D65" s="8">
        <v>1</v>
      </c>
      <c r="E65" s="8">
        <v>2</v>
      </c>
      <c r="F65" s="8">
        <f t="shared" si="2"/>
        <v>41</v>
      </c>
      <c r="G65" s="8">
        <f t="shared" si="3"/>
        <v>42</v>
      </c>
      <c r="H65" s="23"/>
      <c r="J65"/>
      <c r="K65"/>
      <c r="L65"/>
      <c r="O65"/>
      <c r="P65"/>
      <c r="Q65"/>
      <c r="R65"/>
      <c r="S65"/>
      <c r="T65"/>
    </row>
    <row r="66" spans="1:20">
      <c r="A66" s="8">
        <v>19</v>
      </c>
      <c r="B66" s="4" t="s">
        <v>131</v>
      </c>
      <c r="C66" s="8">
        <v>4</v>
      </c>
      <c r="D66" s="8">
        <v>4</v>
      </c>
      <c r="E66" s="8">
        <v>1</v>
      </c>
      <c r="F66" s="8">
        <f t="shared" si="2"/>
        <v>43</v>
      </c>
      <c r="G66" s="8">
        <f t="shared" si="3"/>
        <v>43</v>
      </c>
      <c r="H66" s="23"/>
      <c r="J66"/>
      <c r="K66"/>
      <c r="L66"/>
      <c r="O66"/>
      <c r="P66"/>
      <c r="Q66"/>
      <c r="R66"/>
      <c r="S66"/>
      <c r="T66"/>
    </row>
    <row r="67" spans="1:20">
      <c r="A67" s="8">
        <v>20</v>
      </c>
      <c r="B67" s="4" t="s">
        <v>33</v>
      </c>
      <c r="C67" s="8">
        <v>4</v>
      </c>
      <c r="D67" s="8">
        <v>5</v>
      </c>
      <c r="E67" s="8">
        <v>1</v>
      </c>
      <c r="F67" s="8">
        <f t="shared" si="2"/>
        <v>44</v>
      </c>
      <c r="G67" s="8">
        <f t="shared" si="3"/>
        <v>44</v>
      </c>
      <c r="H67" s="23"/>
      <c r="J67"/>
      <c r="K67"/>
      <c r="L67"/>
      <c r="O67"/>
      <c r="P67"/>
      <c r="Q67"/>
      <c r="R67"/>
      <c r="S67"/>
      <c r="T67"/>
    </row>
    <row r="68" spans="1:20">
      <c r="A68" s="23">
        <v>21</v>
      </c>
      <c r="B68" s="4" t="s">
        <v>34</v>
      </c>
      <c r="C68" s="8">
        <v>4</v>
      </c>
      <c r="D68" s="8">
        <v>6</v>
      </c>
      <c r="E68" s="8">
        <v>3</v>
      </c>
      <c r="F68" s="8">
        <f t="shared" si="2"/>
        <v>45</v>
      </c>
      <c r="G68" s="8">
        <f t="shared" si="3"/>
        <v>47</v>
      </c>
      <c r="H68" s="23"/>
      <c r="J68"/>
      <c r="K68"/>
      <c r="L68"/>
      <c r="O68"/>
      <c r="P68"/>
      <c r="Q68"/>
      <c r="R68"/>
      <c r="S68"/>
      <c r="T68"/>
    </row>
    <row r="69" spans="1:20">
      <c r="A69" s="8">
        <v>22</v>
      </c>
      <c r="B69" s="4" t="s">
        <v>132</v>
      </c>
      <c r="C69" s="8">
        <v>4</v>
      </c>
      <c r="D69" s="8">
        <v>7</v>
      </c>
      <c r="E69" s="8">
        <v>1</v>
      </c>
      <c r="F69" s="8">
        <f t="shared" si="2"/>
        <v>48</v>
      </c>
      <c r="G69" s="8">
        <f t="shared" si="3"/>
        <v>48</v>
      </c>
      <c r="H69" s="23"/>
      <c r="J69"/>
      <c r="K69"/>
      <c r="L69"/>
      <c r="O69"/>
      <c r="P69"/>
      <c r="Q69"/>
      <c r="R69"/>
      <c r="S69"/>
      <c r="T69"/>
    </row>
    <row r="70" spans="1:20">
      <c r="A70" s="8">
        <v>23</v>
      </c>
      <c r="B70" s="4" t="s">
        <v>121</v>
      </c>
      <c r="C70" s="8">
        <v>4</v>
      </c>
      <c r="D70" s="8">
        <v>8</v>
      </c>
      <c r="E70" s="8">
        <v>2</v>
      </c>
      <c r="F70" s="8">
        <f t="shared" si="2"/>
        <v>49</v>
      </c>
      <c r="G70" s="8">
        <f t="shared" si="3"/>
        <v>50</v>
      </c>
      <c r="H70" s="23"/>
      <c r="J70"/>
      <c r="K70"/>
      <c r="L70"/>
      <c r="O70"/>
      <c r="P70"/>
      <c r="Q70"/>
      <c r="R70"/>
      <c r="S70"/>
      <c r="T70"/>
    </row>
    <row r="71" spans="1:20">
      <c r="A71" s="8">
        <v>24</v>
      </c>
      <c r="B71" s="4" t="s">
        <v>133</v>
      </c>
      <c r="C71" s="8">
        <v>4</v>
      </c>
      <c r="D71" s="8">
        <v>9</v>
      </c>
      <c r="E71" s="8">
        <v>2</v>
      </c>
      <c r="F71" s="8">
        <f t="shared" si="2"/>
        <v>51</v>
      </c>
      <c r="G71" s="8">
        <f t="shared" si="3"/>
        <v>52</v>
      </c>
      <c r="H71" s="23"/>
      <c r="J71"/>
      <c r="K71"/>
      <c r="L71"/>
      <c r="O71"/>
      <c r="P71"/>
      <c r="Q71"/>
      <c r="R71"/>
      <c r="S71"/>
      <c r="T71"/>
    </row>
    <row r="72" spans="1:20">
      <c r="A72" s="23">
        <v>25</v>
      </c>
      <c r="B72" s="4" t="s">
        <v>134</v>
      </c>
      <c r="C72" s="8">
        <v>4</v>
      </c>
      <c r="D72" s="8">
        <v>10</v>
      </c>
      <c r="E72" s="8">
        <v>2</v>
      </c>
      <c r="F72" s="8">
        <f t="shared" si="2"/>
        <v>53</v>
      </c>
      <c r="G72" s="8">
        <f t="shared" si="3"/>
        <v>54</v>
      </c>
      <c r="H72" s="28"/>
      <c r="J72"/>
      <c r="K72"/>
      <c r="L72"/>
      <c r="O72"/>
      <c r="P72"/>
      <c r="Q72"/>
      <c r="R72"/>
      <c r="S72"/>
      <c r="T72"/>
    </row>
    <row r="73" spans="1:20">
      <c r="A73" s="8">
        <v>26</v>
      </c>
      <c r="B73" s="4" t="s">
        <v>135</v>
      </c>
      <c r="C73" s="8">
        <v>4</v>
      </c>
      <c r="D73" s="8">
        <v>11</v>
      </c>
      <c r="E73" s="8">
        <v>2</v>
      </c>
      <c r="F73" s="8">
        <f t="shared" si="2"/>
        <v>55</v>
      </c>
      <c r="G73" s="8">
        <f t="shared" si="3"/>
        <v>56</v>
      </c>
      <c r="H73" s="27"/>
      <c r="J73"/>
      <c r="K73"/>
      <c r="L73"/>
      <c r="O73"/>
      <c r="P73"/>
      <c r="Q73"/>
      <c r="R73"/>
      <c r="S73"/>
      <c r="T73"/>
    </row>
    <row r="74" spans="1:20">
      <c r="A74" s="8">
        <v>27</v>
      </c>
      <c r="B74" s="4" t="s">
        <v>136</v>
      </c>
      <c r="C74" s="8">
        <v>4</v>
      </c>
      <c r="D74" s="8">
        <v>12</v>
      </c>
      <c r="E74" s="8">
        <v>1</v>
      </c>
      <c r="F74" s="8">
        <f t="shared" si="2"/>
        <v>57</v>
      </c>
      <c r="G74" s="8">
        <f t="shared" si="3"/>
        <v>57</v>
      </c>
      <c r="H74" s="27"/>
      <c r="J74"/>
      <c r="K74"/>
      <c r="L74"/>
      <c r="O74"/>
      <c r="P74"/>
      <c r="Q74"/>
      <c r="R74"/>
      <c r="S74"/>
      <c r="T74"/>
    </row>
    <row r="75" spans="1:20">
      <c r="A75" s="8">
        <v>28</v>
      </c>
      <c r="B75" s="4" t="s">
        <v>137</v>
      </c>
      <c r="C75" s="8">
        <v>4.0999999999999996</v>
      </c>
      <c r="D75" s="8">
        <v>3</v>
      </c>
      <c r="E75" s="8">
        <v>1</v>
      </c>
      <c r="F75" s="8">
        <f t="shared" si="2"/>
        <v>58</v>
      </c>
      <c r="G75" s="8">
        <f t="shared" si="3"/>
        <v>58</v>
      </c>
      <c r="H75" s="1"/>
      <c r="J75"/>
      <c r="K75"/>
      <c r="L75"/>
      <c r="O75"/>
      <c r="P75"/>
      <c r="Q75"/>
      <c r="R75"/>
      <c r="S75"/>
      <c r="T75"/>
    </row>
    <row r="76" spans="1:20">
      <c r="A76" s="23">
        <v>29</v>
      </c>
      <c r="B76" s="4" t="s">
        <v>138</v>
      </c>
      <c r="C76" s="8">
        <v>4.0999999999999996</v>
      </c>
      <c r="D76" s="8">
        <v>4</v>
      </c>
      <c r="E76" s="8">
        <v>2</v>
      </c>
      <c r="F76" s="8">
        <f t="shared" si="2"/>
        <v>59</v>
      </c>
      <c r="G76" s="8">
        <f t="shared" si="3"/>
        <v>60</v>
      </c>
      <c r="H76" s="1"/>
      <c r="J76"/>
      <c r="K76"/>
      <c r="L76"/>
      <c r="O76"/>
      <c r="P76"/>
      <c r="Q76"/>
      <c r="R76"/>
      <c r="S76"/>
      <c r="T76"/>
    </row>
    <row r="77" spans="1:20">
      <c r="A77" s="8">
        <v>30</v>
      </c>
      <c r="B77" s="4" t="s">
        <v>139</v>
      </c>
      <c r="C77" s="8">
        <v>4.0999999999999996</v>
      </c>
      <c r="D77" s="8">
        <v>5</v>
      </c>
      <c r="E77" s="8">
        <v>1</v>
      </c>
      <c r="F77" s="8">
        <f t="shared" si="2"/>
        <v>61</v>
      </c>
      <c r="G77" s="8">
        <f t="shared" si="3"/>
        <v>61</v>
      </c>
      <c r="H77" s="1"/>
      <c r="J77"/>
      <c r="K77"/>
      <c r="L77"/>
      <c r="O77"/>
      <c r="P77"/>
      <c r="Q77"/>
      <c r="R77"/>
      <c r="S77"/>
      <c r="T77"/>
    </row>
    <row r="78" spans="1:20">
      <c r="A78" s="8">
        <v>31</v>
      </c>
      <c r="B78" s="4" t="s">
        <v>140</v>
      </c>
      <c r="C78" s="8">
        <v>4.0999999999999996</v>
      </c>
      <c r="D78" s="8">
        <v>6</v>
      </c>
      <c r="E78" s="8">
        <v>1</v>
      </c>
      <c r="F78" s="8">
        <f t="shared" si="2"/>
        <v>62</v>
      </c>
      <c r="G78" s="8">
        <f t="shared" si="3"/>
        <v>62</v>
      </c>
      <c r="H78" s="1"/>
      <c r="J78"/>
      <c r="K78"/>
      <c r="L78"/>
      <c r="O78"/>
      <c r="P78"/>
      <c r="Q78"/>
      <c r="R78"/>
      <c r="S78"/>
      <c r="T78"/>
    </row>
    <row r="79" spans="1:20">
      <c r="A79" s="8">
        <v>32</v>
      </c>
      <c r="B79" s="4" t="s">
        <v>141</v>
      </c>
      <c r="C79" s="8">
        <v>4.0999999999999996</v>
      </c>
      <c r="D79" s="8">
        <v>7</v>
      </c>
      <c r="E79" s="8">
        <v>1</v>
      </c>
      <c r="F79" s="8">
        <f t="shared" si="2"/>
        <v>63</v>
      </c>
      <c r="G79" s="8">
        <f t="shared" si="3"/>
        <v>63</v>
      </c>
      <c r="H79" s="1"/>
      <c r="J79"/>
      <c r="K79"/>
      <c r="L79"/>
      <c r="O79"/>
      <c r="P79"/>
      <c r="Q79"/>
      <c r="R79"/>
      <c r="S79"/>
      <c r="T79"/>
    </row>
    <row r="80" spans="1:20">
      <c r="A80" s="23">
        <v>33</v>
      </c>
      <c r="B80" s="4" t="s">
        <v>142</v>
      </c>
      <c r="C80" s="8">
        <v>5.0999999999999996</v>
      </c>
      <c r="D80" s="8">
        <v>3</v>
      </c>
      <c r="E80" s="8">
        <v>2</v>
      </c>
      <c r="F80" s="8">
        <f t="shared" si="2"/>
        <v>64</v>
      </c>
      <c r="G80" s="8">
        <f t="shared" si="3"/>
        <v>65</v>
      </c>
      <c r="H80" s="1"/>
      <c r="J80"/>
      <c r="K80"/>
      <c r="L80"/>
      <c r="O80"/>
      <c r="P80"/>
      <c r="Q80"/>
      <c r="R80"/>
      <c r="S80"/>
      <c r="T80"/>
    </row>
    <row r="81" spans="1:20">
      <c r="A81" s="8">
        <v>34</v>
      </c>
      <c r="B81" s="4" t="s">
        <v>143</v>
      </c>
      <c r="C81" s="8">
        <v>5.0999999999999996</v>
      </c>
      <c r="D81" s="8">
        <v>5</v>
      </c>
      <c r="E81" s="8">
        <v>5</v>
      </c>
      <c r="F81" s="8">
        <f t="shared" si="2"/>
        <v>66</v>
      </c>
      <c r="G81" s="8">
        <f t="shared" si="3"/>
        <v>70</v>
      </c>
      <c r="H81" s="1"/>
      <c r="J81"/>
      <c r="K81"/>
      <c r="L81"/>
      <c r="O81"/>
      <c r="P81"/>
      <c r="Q81"/>
      <c r="R81"/>
      <c r="S81"/>
      <c r="T81"/>
    </row>
    <row r="82" spans="1:20">
      <c r="A82" s="8">
        <v>35</v>
      </c>
      <c r="B82" s="4" t="s">
        <v>144</v>
      </c>
      <c r="C82" s="8">
        <v>5.0999999999999996</v>
      </c>
      <c r="D82" s="8">
        <v>6</v>
      </c>
      <c r="E82" s="8">
        <v>3</v>
      </c>
      <c r="F82" s="8">
        <f t="shared" si="2"/>
        <v>71</v>
      </c>
      <c r="G82" s="8">
        <f t="shared" si="3"/>
        <v>73</v>
      </c>
      <c r="H82" s="1"/>
      <c r="J82"/>
      <c r="K82"/>
      <c r="L82"/>
      <c r="O82"/>
      <c r="P82"/>
      <c r="Q82"/>
      <c r="R82"/>
      <c r="S82"/>
      <c r="T82"/>
    </row>
    <row r="83" spans="1:20">
      <c r="A83" s="8">
        <v>36</v>
      </c>
      <c r="B83" s="4" t="s">
        <v>145</v>
      </c>
      <c r="C83" s="8">
        <v>5.0999999999999996</v>
      </c>
      <c r="D83" s="8">
        <v>7</v>
      </c>
      <c r="E83" s="8">
        <v>1</v>
      </c>
      <c r="F83" s="8">
        <f t="shared" si="2"/>
        <v>74</v>
      </c>
      <c r="G83" s="8">
        <f t="shared" si="3"/>
        <v>74</v>
      </c>
      <c r="H83" s="1"/>
      <c r="J83"/>
      <c r="K83"/>
      <c r="L83"/>
      <c r="O83"/>
      <c r="P83"/>
      <c r="Q83"/>
      <c r="R83"/>
      <c r="S83"/>
      <c r="T83"/>
    </row>
    <row r="84" spans="1:20">
      <c r="A84" s="23">
        <v>37</v>
      </c>
      <c r="B84" s="4" t="s">
        <v>146</v>
      </c>
      <c r="C84" s="8">
        <v>5.0999999999999996</v>
      </c>
      <c r="D84" s="8">
        <v>8</v>
      </c>
      <c r="E84" s="8">
        <v>2</v>
      </c>
      <c r="F84" s="8">
        <f t="shared" si="2"/>
        <v>75</v>
      </c>
      <c r="G84" s="8">
        <f t="shared" si="3"/>
        <v>76</v>
      </c>
      <c r="H84" s="1"/>
      <c r="J84"/>
      <c r="K84"/>
      <c r="L84"/>
      <c r="O84"/>
      <c r="P84"/>
      <c r="Q84"/>
      <c r="R84"/>
      <c r="S84"/>
      <c r="T84"/>
    </row>
    <row r="85" spans="1:20">
      <c r="A85" s="8">
        <v>38</v>
      </c>
      <c r="B85" s="4" t="s">
        <v>147</v>
      </c>
      <c r="C85" s="8">
        <v>5.0999999999999996</v>
      </c>
      <c r="D85" s="8">
        <v>9</v>
      </c>
      <c r="E85" s="8">
        <v>2</v>
      </c>
      <c r="F85" s="8">
        <f t="shared" si="2"/>
        <v>77</v>
      </c>
      <c r="G85" s="8">
        <f t="shared" si="3"/>
        <v>78</v>
      </c>
      <c r="H85" s="1"/>
      <c r="J85"/>
      <c r="K85"/>
      <c r="L85"/>
      <c r="O85"/>
      <c r="P85"/>
      <c r="Q85"/>
      <c r="R85"/>
      <c r="S85"/>
      <c r="T85"/>
    </row>
    <row r="86" spans="1:20">
      <c r="A86" s="8">
        <v>39</v>
      </c>
      <c r="B86" s="4" t="s">
        <v>148</v>
      </c>
      <c r="C86" s="8">
        <v>5.0999999999999996</v>
      </c>
      <c r="D86" s="8">
        <v>10</v>
      </c>
      <c r="E86" s="8">
        <v>1</v>
      </c>
      <c r="F86" s="8">
        <f t="shared" si="2"/>
        <v>79</v>
      </c>
      <c r="G86" s="8">
        <f t="shared" si="3"/>
        <v>79</v>
      </c>
      <c r="H86" s="1"/>
      <c r="J86"/>
      <c r="K86"/>
      <c r="L86"/>
      <c r="O86"/>
      <c r="P86"/>
      <c r="Q86"/>
      <c r="R86"/>
      <c r="S86"/>
      <c r="T86"/>
    </row>
    <row r="87" spans="1:20">
      <c r="A87" s="8">
        <v>40</v>
      </c>
      <c r="B87" s="4" t="s">
        <v>149</v>
      </c>
      <c r="C87" s="8">
        <v>5.0999999999999996</v>
      </c>
      <c r="D87" s="8">
        <v>11</v>
      </c>
      <c r="E87" s="8">
        <v>1</v>
      </c>
      <c r="F87" s="8">
        <f t="shared" si="2"/>
        <v>80</v>
      </c>
      <c r="G87" s="8">
        <f t="shared" si="3"/>
        <v>80</v>
      </c>
      <c r="H87" s="1"/>
      <c r="J87"/>
      <c r="K87"/>
      <c r="L87"/>
      <c r="O87"/>
      <c r="P87"/>
      <c r="Q87"/>
      <c r="R87"/>
      <c r="S87"/>
      <c r="T87"/>
    </row>
    <row r="88" spans="1:20">
      <c r="A88" s="23">
        <v>41</v>
      </c>
      <c r="B88" s="4" t="s">
        <v>150</v>
      </c>
      <c r="C88" s="8">
        <v>5.0999999999999996</v>
      </c>
      <c r="D88" s="8">
        <v>12</v>
      </c>
      <c r="E88" s="8">
        <v>1</v>
      </c>
      <c r="F88" s="8">
        <f t="shared" si="2"/>
        <v>81</v>
      </c>
      <c r="G88" s="8">
        <f t="shared" si="3"/>
        <v>81</v>
      </c>
      <c r="H88" s="1"/>
      <c r="J88"/>
      <c r="K88"/>
      <c r="L88"/>
      <c r="O88"/>
      <c r="P88"/>
      <c r="Q88"/>
      <c r="R88"/>
      <c r="S88"/>
      <c r="T88"/>
    </row>
    <row r="89" spans="1:20">
      <c r="A89" s="8">
        <v>42</v>
      </c>
      <c r="B89" s="4" t="s">
        <v>151</v>
      </c>
      <c r="C89" s="8">
        <v>5.0999999999999996</v>
      </c>
      <c r="D89" s="8">
        <v>13</v>
      </c>
      <c r="E89" s="8">
        <v>1</v>
      </c>
      <c r="F89" s="8">
        <f t="shared" si="2"/>
        <v>82</v>
      </c>
      <c r="G89" s="8">
        <f t="shared" si="3"/>
        <v>82</v>
      </c>
      <c r="H89" s="1"/>
      <c r="J89"/>
      <c r="K89"/>
      <c r="L89"/>
      <c r="O89"/>
      <c r="P89"/>
      <c r="Q89"/>
      <c r="R89"/>
      <c r="S89"/>
      <c r="T89"/>
    </row>
    <row r="90" spans="1:20">
      <c r="A90" s="8">
        <v>43</v>
      </c>
      <c r="B90" s="4" t="s">
        <v>152</v>
      </c>
      <c r="C90" s="8">
        <v>5.0999999999999996</v>
      </c>
      <c r="D90" s="8">
        <v>14</v>
      </c>
      <c r="E90" s="8">
        <v>1</v>
      </c>
      <c r="F90" s="8">
        <f t="shared" si="2"/>
        <v>83</v>
      </c>
      <c r="G90" s="8">
        <f t="shared" si="3"/>
        <v>83</v>
      </c>
      <c r="H90" s="1"/>
      <c r="J90"/>
      <c r="K90"/>
      <c r="L90"/>
      <c r="O90"/>
      <c r="P90"/>
      <c r="Q90"/>
      <c r="R90"/>
      <c r="S90"/>
      <c r="T90"/>
    </row>
    <row r="91" spans="1:20">
      <c r="A91" s="8">
        <v>44</v>
      </c>
      <c r="B91" s="4" t="s">
        <v>142</v>
      </c>
      <c r="C91" s="8">
        <v>5.2</v>
      </c>
      <c r="D91" s="8">
        <v>3</v>
      </c>
      <c r="E91" s="8">
        <v>2</v>
      </c>
      <c r="F91" s="8">
        <f t="shared" si="2"/>
        <v>84</v>
      </c>
      <c r="G91" s="8">
        <f t="shared" si="3"/>
        <v>85</v>
      </c>
      <c r="H91" s="1"/>
      <c r="J91"/>
      <c r="K91"/>
      <c r="L91"/>
      <c r="O91"/>
      <c r="P91"/>
      <c r="Q91"/>
      <c r="R91"/>
      <c r="S91"/>
      <c r="T91"/>
    </row>
    <row r="92" spans="1:20">
      <c r="A92" s="23">
        <v>45</v>
      </c>
      <c r="B92" s="4" t="s">
        <v>143</v>
      </c>
      <c r="C92" s="8">
        <v>5.2</v>
      </c>
      <c r="D92" s="8">
        <v>5</v>
      </c>
      <c r="E92" s="8">
        <v>5</v>
      </c>
      <c r="F92" s="8">
        <f t="shared" si="2"/>
        <v>86</v>
      </c>
      <c r="G92" s="8">
        <f t="shared" si="3"/>
        <v>90</v>
      </c>
      <c r="H92" s="1"/>
      <c r="J92"/>
      <c r="K92"/>
      <c r="L92"/>
      <c r="O92"/>
      <c r="P92"/>
      <c r="Q92"/>
      <c r="R92"/>
      <c r="S92"/>
      <c r="T92"/>
    </row>
    <row r="93" spans="1:20">
      <c r="A93" s="8">
        <v>46</v>
      </c>
      <c r="B93" s="4" t="s">
        <v>144</v>
      </c>
      <c r="C93" s="8">
        <v>5.2</v>
      </c>
      <c r="D93" s="8">
        <v>6</v>
      </c>
      <c r="E93" s="8">
        <v>3</v>
      </c>
      <c r="F93" s="8">
        <f t="shared" si="2"/>
        <v>91</v>
      </c>
      <c r="G93" s="8">
        <f t="shared" si="3"/>
        <v>93</v>
      </c>
      <c r="H93" s="1"/>
      <c r="J93"/>
      <c r="K93"/>
      <c r="L93"/>
      <c r="O93"/>
      <c r="P93"/>
      <c r="Q93"/>
      <c r="R93"/>
      <c r="S93"/>
      <c r="T93"/>
    </row>
    <row r="94" spans="1:20">
      <c r="A94" s="8">
        <v>47</v>
      </c>
      <c r="B94" s="4" t="s">
        <v>153</v>
      </c>
      <c r="C94" s="8">
        <v>5.2</v>
      </c>
      <c r="D94" s="8">
        <v>7</v>
      </c>
      <c r="E94" s="8">
        <v>2</v>
      </c>
      <c r="F94" s="8">
        <f t="shared" si="2"/>
        <v>94</v>
      </c>
      <c r="G94" s="8">
        <f t="shared" si="3"/>
        <v>95</v>
      </c>
      <c r="H94" s="1"/>
      <c r="J94"/>
      <c r="K94"/>
      <c r="L94"/>
      <c r="O94"/>
      <c r="P94"/>
      <c r="Q94"/>
      <c r="R94"/>
      <c r="S94"/>
      <c r="T94"/>
    </row>
    <row r="95" spans="1:20">
      <c r="A95" s="8">
        <v>48</v>
      </c>
      <c r="B95" s="4" t="s">
        <v>154</v>
      </c>
      <c r="C95" s="8">
        <v>5.2</v>
      </c>
      <c r="D95" s="8">
        <v>8</v>
      </c>
      <c r="E95" s="8">
        <v>2</v>
      </c>
      <c r="F95" s="8">
        <f t="shared" si="2"/>
        <v>96</v>
      </c>
      <c r="G95" s="8">
        <f t="shared" si="3"/>
        <v>97</v>
      </c>
      <c r="H95" s="1"/>
      <c r="J95"/>
      <c r="K95"/>
      <c r="L95"/>
      <c r="O95"/>
      <c r="P95"/>
      <c r="Q95"/>
      <c r="R95"/>
      <c r="S95"/>
      <c r="T95"/>
    </row>
    <row r="96" spans="1:20">
      <c r="A96" s="23">
        <v>49</v>
      </c>
      <c r="B96" s="4" t="s">
        <v>155</v>
      </c>
      <c r="C96" s="8">
        <v>5.2</v>
      </c>
      <c r="D96" s="8">
        <v>9</v>
      </c>
      <c r="E96" s="8">
        <v>1</v>
      </c>
      <c r="F96" s="8">
        <f t="shared" si="2"/>
        <v>98</v>
      </c>
      <c r="G96" s="8">
        <f t="shared" si="3"/>
        <v>98</v>
      </c>
      <c r="H96" s="1"/>
      <c r="J96"/>
      <c r="K96"/>
      <c r="L96"/>
      <c r="O96"/>
      <c r="P96"/>
      <c r="Q96"/>
      <c r="R96"/>
      <c r="S96"/>
      <c r="T96"/>
    </row>
    <row r="97" spans="1:20">
      <c r="A97" s="8">
        <v>50</v>
      </c>
      <c r="B97" s="4" t="s">
        <v>156</v>
      </c>
      <c r="C97" s="8">
        <v>5.2</v>
      </c>
      <c r="D97" s="8">
        <v>10</v>
      </c>
      <c r="E97" s="8">
        <v>1</v>
      </c>
      <c r="F97" s="8">
        <f t="shared" si="2"/>
        <v>99</v>
      </c>
      <c r="G97" s="8">
        <f t="shared" si="3"/>
        <v>99</v>
      </c>
      <c r="H97" s="1"/>
      <c r="J97"/>
      <c r="K97"/>
      <c r="L97"/>
      <c r="O97"/>
      <c r="P97"/>
      <c r="Q97"/>
      <c r="R97"/>
      <c r="S97"/>
      <c r="T97"/>
    </row>
    <row r="98" spans="1:20">
      <c r="A98" s="8">
        <v>51</v>
      </c>
      <c r="B98" s="4" t="s">
        <v>157</v>
      </c>
      <c r="C98" s="8">
        <v>5.2</v>
      </c>
      <c r="D98" s="8">
        <v>11</v>
      </c>
      <c r="E98" s="8">
        <v>1</v>
      </c>
      <c r="F98" s="8">
        <f t="shared" si="2"/>
        <v>100</v>
      </c>
      <c r="G98" s="8">
        <f t="shared" si="3"/>
        <v>100</v>
      </c>
      <c r="H98" s="1"/>
      <c r="J98"/>
      <c r="K98"/>
      <c r="L98"/>
      <c r="O98"/>
      <c r="P98"/>
      <c r="Q98"/>
      <c r="R98"/>
      <c r="S98"/>
      <c r="T98"/>
    </row>
    <row r="99" spans="1:20">
      <c r="A99" s="8">
        <v>52</v>
      </c>
      <c r="B99" s="4" t="s">
        <v>158</v>
      </c>
      <c r="C99" s="8">
        <v>5.2</v>
      </c>
      <c r="D99" s="8">
        <v>12</v>
      </c>
      <c r="E99" s="8">
        <v>1</v>
      </c>
      <c r="F99" s="8">
        <f t="shared" si="2"/>
        <v>101</v>
      </c>
      <c r="G99" s="8">
        <f t="shared" si="3"/>
        <v>101</v>
      </c>
      <c r="H99" s="1"/>
      <c r="J99"/>
      <c r="K99"/>
      <c r="L99"/>
      <c r="O99"/>
      <c r="P99"/>
      <c r="Q99"/>
      <c r="R99"/>
      <c r="S99"/>
      <c r="T99"/>
    </row>
    <row r="100" spans="1:20">
      <c r="A100" s="23">
        <v>53</v>
      </c>
      <c r="B100" s="4" t="s">
        <v>159</v>
      </c>
      <c r="C100" s="8">
        <v>5.2</v>
      </c>
      <c r="D100" s="8">
        <v>13</v>
      </c>
      <c r="E100" s="8">
        <v>1</v>
      </c>
      <c r="F100" s="8">
        <f t="shared" si="2"/>
        <v>102</v>
      </c>
      <c r="G100" s="8">
        <f t="shared" si="3"/>
        <v>102</v>
      </c>
      <c r="H100" s="1"/>
      <c r="J100"/>
      <c r="K100"/>
      <c r="L100"/>
      <c r="O100"/>
      <c r="P100"/>
      <c r="Q100"/>
      <c r="R100"/>
      <c r="S100"/>
      <c r="T100"/>
    </row>
    <row r="101" spans="1:20">
      <c r="A101" s="8">
        <v>54</v>
      </c>
      <c r="B101" s="4" t="s">
        <v>160</v>
      </c>
      <c r="C101" s="8">
        <v>5.3</v>
      </c>
      <c r="D101" s="8">
        <v>5</v>
      </c>
      <c r="E101" s="8">
        <v>1</v>
      </c>
      <c r="F101" s="8">
        <f t="shared" si="2"/>
        <v>103</v>
      </c>
      <c r="G101" s="8">
        <f t="shared" si="3"/>
        <v>103</v>
      </c>
      <c r="H101" s="1"/>
      <c r="J101"/>
      <c r="K101"/>
      <c r="L101"/>
      <c r="O101"/>
      <c r="P101"/>
      <c r="Q101"/>
      <c r="R101"/>
      <c r="S101"/>
      <c r="T101"/>
    </row>
    <row r="102" spans="1:20" ht="31.2">
      <c r="A102" s="8">
        <v>55</v>
      </c>
      <c r="B102" s="4" t="s">
        <v>161</v>
      </c>
      <c r="C102" s="8">
        <v>5.3</v>
      </c>
      <c r="D102" s="8">
        <v>6</v>
      </c>
      <c r="E102" s="8">
        <v>1</v>
      </c>
      <c r="F102" s="8">
        <f t="shared" si="2"/>
        <v>104</v>
      </c>
      <c r="G102" s="8">
        <f t="shared" si="3"/>
        <v>104</v>
      </c>
      <c r="H102" s="1"/>
      <c r="J102"/>
      <c r="K102"/>
      <c r="L102"/>
      <c r="O102"/>
      <c r="P102"/>
      <c r="Q102"/>
      <c r="R102"/>
      <c r="S102"/>
      <c r="T102"/>
    </row>
    <row r="103" spans="1:20" ht="31.2">
      <c r="A103" s="8">
        <v>56</v>
      </c>
      <c r="B103" s="4" t="s">
        <v>162</v>
      </c>
      <c r="C103" s="8">
        <v>5.3</v>
      </c>
      <c r="D103" s="8">
        <v>7</v>
      </c>
      <c r="E103" s="8">
        <v>1</v>
      </c>
      <c r="F103" s="8">
        <f t="shared" si="2"/>
        <v>105</v>
      </c>
      <c r="G103" s="8">
        <f t="shared" si="3"/>
        <v>105</v>
      </c>
      <c r="H103" s="1"/>
      <c r="J103"/>
      <c r="K103"/>
      <c r="L103"/>
      <c r="O103"/>
      <c r="P103"/>
      <c r="Q103"/>
      <c r="R103"/>
      <c r="S103"/>
      <c r="T103"/>
    </row>
    <row r="104" spans="1:20">
      <c r="A104" s="23">
        <v>57</v>
      </c>
      <c r="B104" s="4" t="s">
        <v>163</v>
      </c>
      <c r="C104" s="8">
        <v>5.3</v>
      </c>
      <c r="D104" s="8">
        <v>8</v>
      </c>
      <c r="E104" s="8">
        <v>1</v>
      </c>
      <c r="F104" s="8">
        <f t="shared" si="2"/>
        <v>106</v>
      </c>
      <c r="G104" s="8">
        <f t="shared" si="3"/>
        <v>106</v>
      </c>
      <c r="H104" s="1"/>
      <c r="J104"/>
      <c r="K104"/>
      <c r="L104"/>
      <c r="O104"/>
      <c r="P104"/>
      <c r="Q104"/>
      <c r="R104"/>
      <c r="S104"/>
      <c r="T104"/>
    </row>
    <row r="105" spans="1:20">
      <c r="A105" s="8">
        <v>58</v>
      </c>
      <c r="B105" s="4" t="s">
        <v>164</v>
      </c>
      <c r="C105" s="8">
        <v>5.3</v>
      </c>
      <c r="D105" s="8">
        <v>9</v>
      </c>
      <c r="E105" s="8">
        <v>1</v>
      </c>
      <c r="F105" s="8">
        <f t="shared" si="2"/>
        <v>107</v>
      </c>
      <c r="G105" s="8">
        <f t="shared" si="3"/>
        <v>107</v>
      </c>
      <c r="H105" s="1"/>
      <c r="J105"/>
      <c r="K105"/>
      <c r="L105"/>
      <c r="O105"/>
      <c r="P105"/>
      <c r="Q105"/>
      <c r="R105"/>
      <c r="S105"/>
      <c r="T105"/>
    </row>
    <row r="106" spans="1:20">
      <c r="A106" s="8">
        <v>59</v>
      </c>
      <c r="B106" s="4" t="s">
        <v>165</v>
      </c>
      <c r="C106" s="8">
        <v>5.3</v>
      </c>
      <c r="D106" s="8">
        <v>10</v>
      </c>
      <c r="E106" s="8">
        <v>1</v>
      </c>
      <c r="F106" s="8">
        <f t="shared" si="2"/>
        <v>108</v>
      </c>
      <c r="G106" s="8">
        <f t="shared" si="3"/>
        <v>108</v>
      </c>
      <c r="H106" s="1"/>
      <c r="J106"/>
      <c r="K106"/>
      <c r="L106"/>
      <c r="O106"/>
      <c r="P106"/>
      <c r="Q106"/>
      <c r="R106"/>
      <c r="S106"/>
      <c r="T106"/>
    </row>
    <row r="107" spans="1:20">
      <c r="A107" s="8">
        <v>60</v>
      </c>
      <c r="B107" s="4" t="s">
        <v>166</v>
      </c>
      <c r="C107" s="34">
        <v>5.3</v>
      </c>
      <c r="D107" s="34">
        <v>11</v>
      </c>
      <c r="E107" s="34">
        <v>2</v>
      </c>
      <c r="F107" s="8">
        <f t="shared" si="2"/>
        <v>109</v>
      </c>
      <c r="G107" s="8">
        <f t="shared" si="3"/>
        <v>110</v>
      </c>
      <c r="H107" s="1"/>
      <c r="J107"/>
      <c r="K107"/>
      <c r="L107"/>
      <c r="O107"/>
      <c r="P107"/>
      <c r="Q107"/>
      <c r="R107"/>
      <c r="S107"/>
      <c r="T107"/>
    </row>
    <row r="108" spans="1:20" ht="31.2">
      <c r="A108" s="23">
        <v>61</v>
      </c>
      <c r="B108" s="4" t="s">
        <v>167</v>
      </c>
      <c r="C108" s="8">
        <v>5.3</v>
      </c>
      <c r="D108" s="8">
        <v>12</v>
      </c>
      <c r="E108" s="8">
        <v>1</v>
      </c>
      <c r="F108" s="8">
        <f t="shared" si="2"/>
        <v>111</v>
      </c>
      <c r="G108" s="8">
        <f t="shared" si="3"/>
        <v>111</v>
      </c>
      <c r="H108" s="1"/>
      <c r="J108"/>
      <c r="K108"/>
      <c r="L108"/>
      <c r="O108"/>
      <c r="P108"/>
      <c r="Q108"/>
      <c r="R108"/>
      <c r="S108"/>
      <c r="T108"/>
    </row>
    <row r="109" spans="1:20">
      <c r="A109" s="8">
        <v>62</v>
      </c>
      <c r="B109" s="4" t="s">
        <v>168</v>
      </c>
      <c r="C109" s="8">
        <v>6</v>
      </c>
      <c r="D109" s="37" t="s">
        <v>169</v>
      </c>
      <c r="E109" s="8">
        <v>2</v>
      </c>
      <c r="F109" s="8">
        <f t="shared" si="2"/>
        <v>112</v>
      </c>
      <c r="G109" s="8">
        <f t="shared" si="3"/>
        <v>113</v>
      </c>
      <c r="H109" s="1"/>
      <c r="J109"/>
      <c r="K109"/>
      <c r="L109"/>
      <c r="O109"/>
      <c r="P109"/>
      <c r="Q109"/>
      <c r="R109"/>
      <c r="S109"/>
      <c r="T109"/>
    </row>
    <row r="110" spans="1:20">
      <c r="A110" s="8">
        <v>63</v>
      </c>
      <c r="B110" s="4" t="s">
        <v>170</v>
      </c>
      <c r="C110" s="8">
        <v>6</v>
      </c>
      <c r="D110" s="37" t="s">
        <v>171</v>
      </c>
      <c r="E110" s="8">
        <v>2</v>
      </c>
      <c r="F110" s="8">
        <f t="shared" si="2"/>
        <v>114</v>
      </c>
      <c r="G110" s="8">
        <f t="shared" si="3"/>
        <v>115</v>
      </c>
      <c r="H110" s="1"/>
      <c r="J110"/>
      <c r="K110"/>
      <c r="L110"/>
      <c r="O110"/>
      <c r="P110"/>
      <c r="Q110"/>
      <c r="R110"/>
      <c r="S110"/>
      <c r="T110"/>
    </row>
    <row r="111" spans="1:20">
      <c r="A111" s="8">
        <v>64</v>
      </c>
      <c r="B111" s="4" t="s">
        <v>172</v>
      </c>
      <c r="C111" s="8">
        <v>6</v>
      </c>
      <c r="D111" s="37" t="s">
        <v>173</v>
      </c>
      <c r="E111" s="8">
        <v>2</v>
      </c>
      <c r="F111" s="8">
        <f t="shared" si="2"/>
        <v>116</v>
      </c>
      <c r="G111" s="8">
        <f t="shared" si="3"/>
        <v>117</v>
      </c>
      <c r="H111" s="1"/>
      <c r="J111"/>
      <c r="K111"/>
      <c r="L111"/>
      <c r="O111"/>
      <c r="P111"/>
      <c r="Q111"/>
      <c r="R111"/>
      <c r="S111"/>
      <c r="T111"/>
    </row>
    <row r="112" spans="1:20">
      <c r="A112" s="23">
        <v>65</v>
      </c>
      <c r="B112" s="4" t="s">
        <v>174</v>
      </c>
      <c r="C112" s="8">
        <v>6</v>
      </c>
      <c r="D112" s="37" t="s">
        <v>175</v>
      </c>
      <c r="E112" s="8">
        <v>5</v>
      </c>
      <c r="F112" s="8">
        <f t="shared" si="2"/>
        <v>118</v>
      </c>
      <c r="G112" s="8">
        <f t="shared" si="3"/>
        <v>122</v>
      </c>
      <c r="H112" s="1"/>
      <c r="J112"/>
      <c r="K112"/>
      <c r="L112"/>
      <c r="O112"/>
      <c r="P112"/>
      <c r="Q112"/>
      <c r="R112"/>
      <c r="S112"/>
      <c r="T112"/>
    </row>
    <row r="113" spans="1:20">
      <c r="A113" s="8">
        <v>66</v>
      </c>
      <c r="B113" s="4" t="s">
        <v>176</v>
      </c>
      <c r="C113" s="8">
        <v>6</v>
      </c>
      <c r="D113" s="37" t="s">
        <v>169</v>
      </c>
      <c r="E113" s="8">
        <v>2</v>
      </c>
      <c r="F113" s="8">
        <f t="shared" si="2"/>
        <v>123</v>
      </c>
      <c r="G113" s="8">
        <f t="shared" si="3"/>
        <v>124</v>
      </c>
      <c r="H113" s="1"/>
      <c r="J113"/>
      <c r="K113"/>
      <c r="L113"/>
      <c r="O113"/>
      <c r="P113"/>
      <c r="Q113"/>
      <c r="R113"/>
      <c r="S113"/>
      <c r="T113"/>
    </row>
    <row r="114" spans="1:20">
      <c r="A114" s="8">
        <v>67</v>
      </c>
      <c r="B114" s="4" t="s">
        <v>177</v>
      </c>
      <c r="C114" s="8">
        <v>6</v>
      </c>
      <c r="D114" s="37" t="s">
        <v>171</v>
      </c>
      <c r="E114" s="8">
        <v>2</v>
      </c>
      <c r="F114" s="8">
        <f t="shared" ref="F114:F177" si="4">G113+1</f>
        <v>125</v>
      </c>
      <c r="G114" s="8">
        <f t="shared" ref="G114:G177" si="5">F114+E114-1</f>
        <v>126</v>
      </c>
      <c r="H114" s="1"/>
      <c r="J114"/>
      <c r="K114"/>
      <c r="L114"/>
      <c r="O114"/>
      <c r="P114"/>
      <c r="Q114"/>
      <c r="R114"/>
      <c r="S114"/>
      <c r="T114"/>
    </row>
    <row r="115" spans="1:20">
      <c r="A115" s="8">
        <v>68</v>
      </c>
      <c r="B115" s="4" t="s">
        <v>178</v>
      </c>
      <c r="C115" s="8">
        <v>6</v>
      </c>
      <c r="D115" s="37" t="s">
        <v>173</v>
      </c>
      <c r="E115" s="8">
        <v>2</v>
      </c>
      <c r="F115" s="8">
        <f t="shared" si="4"/>
        <v>127</v>
      </c>
      <c r="G115" s="8">
        <f t="shared" si="5"/>
        <v>128</v>
      </c>
      <c r="H115" s="1"/>
      <c r="J115"/>
      <c r="K115"/>
      <c r="L115"/>
      <c r="O115"/>
      <c r="P115"/>
      <c r="Q115"/>
      <c r="R115"/>
      <c r="S115"/>
      <c r="T115"/>
    </row>
    <row r="116" spans="1:20">
      <c r="A116" s="23">
        <v>69</v>
      </c>
      <c r="B116" s="4" t="s">
        <v>179</v>
      </c>
      <c r="C116" s="8">
        <v>6</v>
      </c>
      <c r="D116" s="37" t="s">
        <v>175</v>
      </c>
      <c r="E116" s="8">
        <v>5</v>
      </c>
      <c r="F116" s="8">
        <f t="shared" si="4"/>
        <v>129</v>
      </c>
      <c r="G116" s="8">
        <f t="shared" si="5"/>
        <v>133</v>
      </c>
      <c r="H116" s="1"/>
      <c r="J116"/>
      <c r="K116"/>
      <c r="L116"/>
      <c r="O116"/>
      <c r="P116"/>
      <c r="Q116"/>
      <c r="R116"/>
      <c r="S116"/>
      <c r="T116"/>
    </row>
    <row r="117" spans="1:20">
      <c r="A117" s="8">
        <v>70</v>
      </c>
      <c r="B117" s="4" t="s">
        <v>180</v>
      </c>
      <c r="C117" s="8">
        <v>6</v>
      </c>
      <c r="D117" s="37" t="s">
        <v>181</v>
      </c>
      <c r="E117" s="8">
        <v>2</v>
      </c>
      <c r="F117" s="8">
        <f t="shared" si="4"/>
        <v>134</v>
      </c>
      <c r="G117" s="8">
        <f t="shared" si="5"/>
        <v>135</v>
      </c>
      <c r="H117" s="1"/>
      <c r="J117"/>
      <c r="K117"/>
      <c r="L117"/>
      <c r="O117"/>
      <c r="P117"/>
      <c r="Q117"/>
      <c r="R117"/>
      <c r="S117"/>
      <c r="T117"/>
    </row>
    <row r="118" spans="1:20">
      <c r="A118" s="8">
        <v>71</v>
      </c>
      <c r="B118" s="4" t="s">
        <v>182</v>
      </c>
      <c r="C118" s="8">
        <v>6</v>
      </c>
      <c r="D118" s="37" t="s">
        <v>183</v>
      </c>
      <c r="E118" s="8">
        <v>2</v>
      </c>
      <c r="F118" s="8">
        <f t="shared" si="4"/>
        <v>136</v>
      </c>
      <c r="G118" s="8">
        <f t="shared" si="5"/>
        <v>137</v>
      </c>
      <c r="H118" s="1"/>
      <c r="J118"/>
      <c r="K118"/>
      <c r="L118"/>
      <c r="O118"/>
      <c r="P118"/>
      <c r="Q118"/>
      <c r="R118"/>
      <c r="S118"/>
      <c r="T118"/>
    </row>
    <row r="119" spans="1:20">
      <c r="A119" s="8">
        <v>72</v>
      </c>
      <c r="B119" s="4" t="s">
        <v>168</v>
      </c>
      <c r="C119" s="8">
        <v>6</v>
      </c>
      <c r="D119" s="37" t="s">
        <v>184</v>
      </c>
      <c r="E119" s="8">
        <v>2</v>
      </c>
      <c r="F119" s="8">
        <f t="shared" si="4"/>
        <v>138</v>
      </c>
      <c r="G119" s="8">
        <f t="shared" si="5"/>
        <v>139</v>
      </c>
      <c r="H119" s="1"/>
      <c r="J119"/>
      <c r="K119"/>
      <c r="L119"/>
      <c r="O119"/>
      <c r="P119"/>
      <c r="Q119"/>
      <c r="R119"/>
      <c r="S119"/>
      <c r="T119"/>
    </row>
    <row r="120" spans="1:20">
      <c r="A120" s="23">
        <v>73</v>
      </c>
      <c r="B120" s="4" t="s">
        <v>170</v>
      </c>
      <c r="C120" s="8">
        <v>6</v>
      </c>
      <c r="D120" s="37" t="s">
        <v>185</v>
      </c>
      <c r="E120" s="8">
        <v>2</v>
      </c>
      <c r="F120" s="8">
        <f t="shared" si="4"/>
        <v>140</v>
      </c>
      <c r="G120" s="8">
        <f t="shared" si="5"/>
        <v>141</v>
      </c>
      <c r="H120" s="1"/>
      <c r="J120"/>
      <c r="K120"/>
      <c r="L120"/>
      <c r="O120"/>
      <c r="P120"/>
      <c r="Q120"/>
      <c r="R120"/>
      <c r="S120"/>
      <c r="T120"/>
    </row>
    <row r="121" spans="1:20">
      <c r="A121" s="8">
        <v>74</v>
      </c>
      <c r="B121" s="4" t="s">
        <v>186</v>
      </c>
      <c r="C121" s="8">
        <v>6</v>
      </c>
      <c r="D121" s="37" t="s">
        <v>187</v>
      </c>
      <c r="E121" s="8">
        <v>2</v>
      </c>
      <c r="F121" s="8">
        <f t="shared" si="4"/>
        <v>142</v>
      </c>
      <c r="G121" s="8">
        <f t="shared" si="5"/>
        <v>143</v>
      </c>
      <c r="H121" s="1"/>
      <c r="J121"/>
      <c r="K121"/>
      <c r="L121"/>
      <c r="O121"/>
      <c r="P121"/>
      <c r="Q121"/>
      <c r="R121"/>
      <c r="S121"/>
      <c r="T121"/>
    </row>
    <row r="122" spans="1:20">
      <c r="A122" s="8">
        <v>75</v>
      </c>
      <c r="B122" s="4" t="s">
        <v>174</v>
      </c>
      <c r="C122" s="8">
        <v>6</v>
      </c>
      <c r="D122" s="37" t="s">
        <v>188</v>
      </c>
      <c r="E122" s="8">
        <v>5</v>
      </c>
      <c r="F122" s="8">
        <f t="shared" si="4"/>
        <v>144</v>
      </c>
      <c r="G122" s="8">
        <f t="shared" si="5"/>
        <v>148</v>
      </c>
      <c r="H122" s="1"/>
      <c r="J122"/>
      <c r="K122"/>
      <c r="L122"/>
      <c r="O122"/>
      <c r="P122"/>
      <c r="Q122"/>
      <c r="R122"/>
      <c r="S122"/>
      <c r="T122"/>
    </row>
    <row r="123" spans="1:20">
      <c r="A123" s="8">
        <v>76</v>
      </c>
      <c r="B123" s="4" t="s">
        <v>176</v>
      </c>
      <c r="C123" s="8">
        <v>6</v>
      </c>
      <c r="D123" s="37" t="s">
        <v>184</v>
      </c>
      <c r="E123" s="8">
        <v>2</v>
      </c>
      <c r="F123" s="8">
        <f t="shared" si="4"/>
        <v>149</v>
      </c>
      <c r="G123" s="8">
        <f t="shared" si="5"/>
        <v>150</v>
      </c>
      <c r="H123" s="1"/>
      <c r="J123"/>
      <c r="K123"/>
      <c r="L123"/>
      <c r="O123"/>
      <c r="P123"/>
      <c r="Q123"/>
      <c r="R123"/>
      <c r="S123"/>
      <c r="T123"/>
    </row>
    <row r="124" spans="1:20">
      <c r="A124" s="23">
        <v>77</v>
      </c>
      <c r="B124" s="4" t="s">
        <v>177</v>
      </c>
      <c r="C124" s="8">
        <v>6</v>
      </c>
      <c r="D124" s="37" t="s">
        <v>185</v>
      </c>
      <c r="E124" s="8">
        <v>2</v>
      </c>
      <c r="F124" s="8">
        <f t="shared" si="4"/>
        <v>151</v>
      </c>
      <c r="G124" s="8">
        <f t="shared" si="5"/>
        <v>152</v>
      </c>
      <c r="H124" s="1"/>
      <c r="J124"/>
      <c r="K124"/>
      <c r="L124"/>
      <c r="O124"/>
      <c r="P124"/>
      <c r="Q124"/>
      <c r="R124"/>
      <c r="S124"/>
      <c r="T124"/>
    </row>
    <row r="125" spans="1:20">
      <c r="A125" s="8">
        <v>78</v>
      </c>
      <c r="B125" s="4" t="s">
        <v>189</v>
      </c>
      <c r="C125" s="8">
        <v>6</v>
      </c>
      <c r="D125" s="37" t="s">
        <v>187</v>
      </c>
      <c r="E125" s="8">
        <v>2</v>
      </c>
      <c r="F125" s="8">
        <f t="shared" si="4"/>
        <v>153</v>
      </c>
      <c r="G125" s="8">
        <f t="shared" si="5"/>
        <v>154</v>
      </c>
      <c r="H125" s="1"/>
      <c r="J125"/>
      <c r="K125"/>
      <c r="L125"/>
      <c r="O125"/>
      <c r="P125"/>
      <c r="Q125"/>
      <c r="R125"/>
      <c r="S125"/>
      <c r="T125"/>
    </row>
    <row r="126" spans="1:20">
      <c r="A126" s="8">
        <v>79</v>
      </c>
      <c r="B126" s="4" t="s">
        <v>190</v>
      </c>
      <c r="C126" s="8">
        <v>6</v>
      </c>
      <c r="D126" s="37" t="s">
        <v>188</v>
      </c>
      <c r="E126" s="8">
        <v>5</v>
      </c>
      <c r="F126" s="8">
        <f t="shared" si="4"/>
        <v>155</v>
      </c>
      <c r="G126" s="8">
        <f t="shared" si="5"/>
        <v>159</v>
      </c>
      <c r="H126" s="1"/>
      <c r="J126"/>
      <c r="K126"/>
      <c r="L126"/>
      <c r="O126"/>
      <c r="P126"/>
      <c r="Q126"/>
      <c r="R126"/>
      <c r="S126"/>
      <c r="T126"/>
    </row>
    <row r="127" spans="1:20">
      <c r="A127" s="8">
        <v>80</v>
      </c>
      <c r="B127" s="4" t="s">
        <v>191</v>
      </c>
      <c r="C127" s="8">
        <v>6</v>
      </c>
      <c r="D127" s="37" t="s">
        <v>192</v>
      </c>
      <c r="E127" s="8">
        <v>2</v>
      </c>
      <c r="F127" s="8">
        <f t="shared" si="4"/>
        <v>160</v>
      </c>
      <c r="G127" s="8">
        <f t="shared" si="5"/>
        <v>161</v>
      </c>
      <c r="H127" s="1"/>
      <c r="J127"/>
      <c r="K127"/>
      <c r="L127"/>
      <c r="O127"/>
      <c r="P127"/>
      <c r="Q127"/>
      <c r="R127"/>
      <c r="S127"/>
      <c r="T127"/>
    </row>
    <row r="128" spans="1:20">
      <c r="A128" s="23">
        <v>81</v>
      </c>
      <c r="B128" s="4" t="s">
        <v>193</v>
      </c>
      <c r="C128" s="8">
        <v>6</v>
      </c>
      <c r="D128" s="37" t="s">
        <v>194</v>
      </c>
      <c r="E128" s="8">
        <v>2</v>
      </c>
      <c r="F128" s="8">
        <f t="shared" si="4"/>
        <v>162</v>
      </c>
      <c r="G128" s="8">
        <f t="shared" si="5"/>
        <v>163</v>
      </c>
      <c r="H128" s="1"/>
      <c r="J128"/>
      <c r="K128"/>
      <c r="L128"/>
      <c r="O128"/>
      <c r="P128"/>
      <c r="Q128"/>
      <c r="R128"/>
      <c r="S128"/>
      <c r="T128"/>
    </row>
    <row r="129" spans="1:20">
      <c r="A129" s="8">
        <v>82</v>
      </c>
      <c r="B129" s="4" t="s">
        <v>168</v>
      </c>
      <c r="C129" s="8">
        <v>6</v>
      </c>
      <c r="D129" s="37" t="s">
        <v>195</v>
      </c>
      <c r="E129" s="8">
        <v>2</v>
      </c>
      <c r="F129" s="8">
        <f t="shared" si="4"/>
        <v>164</v>
      </c>
      <c r="G129" s="8">
        <f t="shared" si="5"/>
        <v>165</v>
      </c>
      <c r="H129" s="1"/>
      <c r="J129"/>
      <c r="K129"/>
      <c r="L129"/>
      <c r="O129"/>
      <c r="P129"/>
      <c r="Q129"/>
      <c r="R129"/>
      <c r="S129"/>
      <c r="T129"/>
    </row>
    <row r="130" spans="1:20">
      <c r="A130" s="8">
        <v>83</v>
      </c>
      <c r="B130" s="4" t="s">
        <v>170</v>
      </c>
      <c r="C130" s="8">
        <v>6</v>
      </c>
      <c r="D130" s="37" t="s">
        <v>196</v>
      </c>
      <c r="E130" s="8">
        <v>2</v>
      </c>
      <c r="F130" s="8">
        <f t="shared" si="4"/>
        <v>166</v>
      </c>
      <c r="G130" s="8">
        <f t="shared" si="5"/>
        <v>167</v>
      </c>
      <c r="H130" s="1"/>
      <c r="J130"/>
      <c r="K130"/>
      <c r="L130"/>
      <c r="O130"/>
      <c r="P130"/>
      <c r="Q130"/>
      <c r="R130"/>
      <c r="S130"/>
      <c r="T130"/>
    </row>
    <row r="131" spans="1:20">
      <c r="A131" s="8">
        <v>84</v>
      </c>
      <c r="B131" s="4" t="s">
        <v>197</v>
      </c>
      <c r="C131" s="8">
        <v>6</v>
      </c>
      <c r="D131" s="37" t="s">
        <v>198</v>
      </c>
      <c r="E131" s="8">
        <v>2</v>
      </c>
      <c r="F131" s="8">
        <f t="shared" si="4"/>
        <v>168</v>
      </c>
      <c r="G131" s="8">
        <f t="shared" si="5"/>
        <v>169</v>
      </c>
      <c r="H131" s="1"/>
      <c r="J131"/>
      <c r="K131"/>
      <c r="L131"/>
      <c r="O131"/>
      <c r="P131"/>
      <c r="Q131"/>
      <c r="R131"/>
      <c r="S131"/>
      <c r="T131"/>
    </row>
    <row r="132" spans="1:20">
      <c r="A132" s="23">
        <v>85</v>
      </c>
      <c r="B132" s="4" t="s">
        <v>199</v>
      </c>
      <c r="C132" s="8">
        <v>6</v>
      </c>
      <c r="D132" s="37" t="s">
        <v>200</v>
      </c>
      <c r="E132" s="8">
        <v>5</v>
      </c>
      <c r="F132" s="8">
        <f t="shared" si="4"/>
        <v>170</v>
      </c>
      <c r="G132" s="8">
        <f t="shared" si="5"/>
        <v>174</v>
      </c>
      <c r="H132" s="1"/>
      <c r="J132"/>
      <c r="K132"/>
      <c r="L132"/>
      <c r="O132"/>
      <c r="P132"/>
      <c r="Q132"/>
      <c r="R132"/>
      <c r="S132"/>
      <c r="T132"/>
    </row>
    <row r="133" spans="1:20">
      <c r="A133" s="8">
        <v>86</v>
      </c>
      <c r="B133" s="4" t="s">
        <v>176</v>
      </c>
      <c r="C133" s="8">
        <v>6</v>
      </c>
      <c r="D133" s="37" t="s">
        <v>195</v>
      </c>
      <c r="E133" s="8">
        <v>2</v>
      </c>
      <c r="F133" s="8">
        <f t="shared" si="4"/>
        <v>175</v>
      </c>
      <c r="G133" s="8">
        <f t="shared" si="5"/>
        <v>176</v>
      </c>
      <c r="H133" s="1"/>
      <c r="J133"/>
      <c r="K133"/>
      <c r="L133"/>
      <c r="O133"/>
      <c r="P133"/>
      <c r="Q133"/>
      <c r="R133"/>
      <c r="S133"/>
      <c r="T133"/>
    </row>
    <row r="134" spans="1:20">
      <c r="A134" s="8">
        <v>87</v>
      </c>
      <c r="B134" s="4" t="s">
        <v>177</v>
      </c>
      <c r="C134" s="8">
        <v>6</v>
      </c>
      <c r="D134" s="37" t="s">
        <v>196</v>
      </c>
      <c r="E134" s="8">
        <v>2</v>
      </c>
      <c r="F134" s="8">
        <f t="shared" si="4"/>
        <v>177</v>
      </c>
      <c r="G134" s="8">
        <f t="shared" si="5"/>
        <v>178</v>
      </c>
      <c r="H134" s="1"/>
      <c r="J134"/>
      <c r="K134"/>
      <c r="L134"/>
      <c r="O134"/>
      <c r="P134"/>
      <c r="Q134"/>
      <c r="R134"/>
      <c r="S134"/>
      <c r="T134"/>
    </row>
    <row r="135" spans="1:20">
      <c r="A135" s="8">
        <v>88</v>
      </c>
      <c r="B135" s="4" t="s">
        <v>201</v>
      </c>
      <c r="C135" s="8">
        <v>6</v>
      </c>
      <c r="D135" s="37" t="s">
        <v>198</v>
      </c>
      <c r="E135" s="8">
        <v>2</v>
      </c>
      <c r="F135" s="8">
        <f t="shared" si="4"/>
        <v>179</v>
      </c>
      <c r="G135" s="8">
        <f t="shared" si="5"/>
        <v>180</v>
      </c>
      <c r="H135" s="1"/>
      <c r="J135"/>
      <c r="K135"/>
      <c r="L135"/>
      <c r="O135"/>
      <c r="P135"/>
      <c r="Q135"/>
      <c r="R135"/>
      <c r="S135"/>
      <c r="T135"/>
    </row>
    <row r="136" spans="1:20">
      <c r="A136" s="23">
        <v>89</v>
      </c>
      <c r="B136" s="4" t="s">
        <v>202</v>
      </c>
      <c r="C136" s="8">
        <v>6</v>
      </c>
      <c r="D136" s="37" t="s">
        <v>200</v>
      </c>
      <c r="E136" s="8">
        <v>5</v>
      </c>
      <c r="F136" s="8">
        <f t="shared" si="4"/>
        <v>181</v>
      </c>
      <c r="G136" s="8">
        <f t="shared" si="5"/>
        <v>185</v>
      </c>
      <c r="H136" s="1"/>
      <c r="J136"/>
      <c r="K136"/>
      <c r="L136"/>
      <c r="O136"/>
      <c r="P136"/>
      <c r="Q136"/>
      <c r="R136"/>
      <c r="S136"/>
      <c r="T136"/>
    </row>
    <row r="137" spans="1:20">
      <c r="A137" s="8">
        <v>90</v>
      </c>
      <c r="B137" s="4" t="s">
        <v>203</v>
      </c>
      <c r="C137" s="8">
        <v>6</v>
      </c>
      <c r="D137" s="37" t="s">
        <v>204</v>
      </c>
      <c r="E137" s="8">
        <v>2</v>
      </c>
      <c r="F137" s="8">
        <f t="shared" si="4"/>
        <v>186</v>
      </c>
      <c r="G137" s="8">
        <f t="shared" si="5"/>
        <v>187</v>
      </c>
      <c r="H137" s="1"/>
      <c r="J137"/>
      <c r="K137"/>
      <c r="L137"/>
      <c r="O137"/>
      <c r="P137"/>
      <c r="Q137"/>
      <c r="R137"/>
      <c r="S137"/>
      <c r="T137"/>
    </row>
    <row r="138" spans="1:20">
      <c r="A138" s="8">
        <v>91</v>
      </c>
      <c r="B138" s="4" t="s">
        <v>205</v>
      </c>
      <c r="C138" s="8">
        <v>6</v>
      </c>
      <c r="D138" s="37" t="s">
        <v>206</v>
      </c>
      <c r="E138" s="8">
        <v>2</v>
      </c>
      <c r="F138" s="8">
        <f t="shared" si="4"/>
        <v>188</v>
      </c>
      <c r="G138" s="8">
        <f t="shared" si="5"/>
        <v>189</v>
      </c>
      <c r="H138" s="1"/>
      <c r="J138"/>
      <c r="K138"/>
      <c r="L138"/>
      <c r="O138"/>
      <c r="P138"/>
      <c r="Q138"/>
      <c r="R138"/>
      <c r="S138"/>
      <c r="T138"/>
    </row>
    <row r="139" spans="1:20">
      <c r="A139" s="8">
        <v>92</v>
      </c>
      <c r="B139" s="4" t="s">
        <v>168</v>
      </c>
      <c r="C139" s="8">
        <v>6</v>
      </c>
      <c r="D139" s="37" t="s">
        <v>207</v>
      </c>
      <c r="E139" s="8">
        <v>2</v>
      </c>
      <c r="F139" s="8">
        <f t="shared" si="4"/>
        <v>190</v>
      </c>
      <c r="G139" s="8">
        <f t="shared" si="5"/>
        <v>191</v>
      </c>
      <c r="H139" s="23"/>
      <c r="J139"/>
      <c r="K139"/>
      <c r="L139"/>
      <c r="O139"/>
      <c r="P139"/>
      <c r="Q139"/>
      <c r="R139"/>
      <c r="S139"/>
      <c r="T139"/>
    </row>
    <row r="140" spans="1:20">
      <c r="A140" s="23">
        <v>93</v>
      </c>
      <c r="B140" s="4" t="s">
        <v>170</v>
      </c>
      <c r="C140" s="8">
        <v>6</v>
      </c>
      <c r="D140" s="37" t="s">
        <v>208</v>
      </c>
      <c r="E140" s="8">
        <v>2</v>
      </c>
      <c r="F140" s="8">
        <f t="shared" si="4"/>
        <v>192</v>
      </c>
      <c r="G140" s="8">
        <f t="shared" si="5"/>
        <v>193</v>
      </c>
      <c r="H140" s="23"/>
      <c r="J140"/>
      <c r="K140"/>
      <c r="L140"/>
      <c r="O140"/>
      <c r="P140"/>
      <c r="Q140"/>
      <c r="R140"/>
      <c r="S140"/>
      <c r="T140"/>
    </row>
    <row r="141" spans="1:20">
      <c r="A141" s="8">
        <v>94</v>
      </c>
      <c r="B141" s="4" t="s">
        <v>209</v>
      </c>
      <c r="C141" s="8">
        <v>6</v>
      </c>
      <c r="D141" s="37" t="s">
        <v>210</v>
      </c>
      <c r="E141" s="8">
        <v>2</v>
      </c>
      <c r="F141" s="8">
        <f t="shared" si="4"/>
        <v>194</v>
      </c>
      <c r="G141" s="8">
        <f t="shared" si="5"/>
        <v>195</v>
      </c>
      <c r="H141" s="23"/>
      <c r="J141"/>
      <c r="K141"/>
      <c r="L141"/>
      <c r="O141"/>
      <c r="P141"/>
      <c r="Q141"/>
      <c r="R141"/>
      <c r="S141"/>
      <c r="T141"/>
    </row>
    <row r="142" spans="1:20">
      <c r="A142" s="8">
        <v>95</v>
      </c>
      <c r="B142" s="4" t="s">
        <v>211</v>
      </c>
      <c r="C142" s="8">
        <v>6</v>
      </c>
      <c r="D142" s="37" t="s">
        <v>212</v>
      </c>
      <c r="E142" s="8">
        <v>5</v>
      </c>
      <c r="F142" s="8">
        <f t="shared" si="4"/>
        <v>196</v>
      </c>
      <c r="G142" s="8">
        <f t="shared" si="5"/>
        <v>200</v>
      </c>
      <c r="H142" s="23"/>
      <c r="J142"/>
      <c r="K142"/>
      <c r="L142"/>
      <c r="O142"/>
      <c r="P142"/>
      <c r="Q142"/>
      <c r="R142"/>
      <c r="S142"/>
      <c r="T142"/>
    </row>
    <row r="143" spans="1:20">
      <c r="A143" s="8">
        <v>96</v>
      </c>
      <c r="B143" s="4" t="s">
        <v>176</v>
      </c>
      <c r="C143" s="8">
        <v>6</v>
      </c>
      <c r="D143" s="37" t="s">
        <v>207</v>
      </c>
      <c r="E143" s="8">
        <v>2</v>
      </c>
      <c r="F143" s="8">
        <f t="shared" si="4"/>
        <v>201</v>
      </c>
      <c r="G143" s="8">
        <f t="shared" si="5"/>
        <v>202</v>
      </c>
      <c r="H143" s="23"/>
      <c r="J143"/>
      <c r="K143"/>
      <c r="L143"/>
      <c r="O143"/>
      <c r="P143"/>
      <c r="Q143"/>
      <c r="R143"/>
      <c r="S143"/>
      <c r="T143"/>
    </row>
    <row r="144" spans="1:20">
      <c r="A144" s="23">
        <v>97</v>
      </c>
      <c r="B144" s="4" t="s">
        <v>177</v>
      </c>
      <c r="C144" s="8">
        <v>6</v>
      </c>
      <c r="D144" s="37" t="s">
        <v>208</v>
      </c>
      <c r="E144" s="8">
        <v>2</v>
      </c>
      <c r="F144" s="8">
        <f t="shared" si="4"/>
        <v>203</v>
      </c>
      <c r="G144" s="8">
        <f t="shared" si="5"/>
        <v>204</v>
      </c>
      <c r="H144" s="23"/>
      <c r="J144"/>
      <c r="K144"/>
      <c r="L144"/>
      <c r="O144"/>
      <c r="P144"/>
      <c r="Q144"/>
      <c r="R144"/>
      <c r="S144"/>
      <c r="T144"/>
    </row>
    <row r="145" spans="1:20">
      <c r="A145" s="8">
        <v>98</v>
      </c>
      <c r="B145" s="4" t="s">
        <v>213</v>
      </c>
      <c r="C145" s="8">
        <v>6</v>
      </c>
      <c r="D145" s="37" t="s">
        <v>210</v>
      </c>
      <c r="E145" s="8">
        <v>2</v>
      </c>
      <c r="F145" s="8">
        <f t="shared" si="4"/>
        <v>205</v>
      </c>
      <c r="G145" s="8">
        <f t="shared" si="5"/>
        <v>206</v>
      </c>
      <c r="H145" s="23"/>
      <c r="J145"/>
      <c r="K145"/>
      <c r="L145"/>
      <c r="O145"/>
      <c r="P145"/>
      <c r="Q145"/>
      <c r="R145"/>
      <c r="S145"/>
      <c r="T145"/>
    </row>
    <row r="146" spans="1:20">
      <c r="A146" s="8">
        <v>99</v>
      </c>
      <c r="B146" s="4" t="s">
        <v>214</v>
      </c>
      <c r="C146" s="8">
        <v>6</v>
      </c>
      <c r="D146" s="37" t="s">
        <v>212</v>
      </c>
      <c r="E146" s="8">
        <v>5</v>
      </c>
      <c r="F146" s="8">
        <f t="shared" si="4"/>
        <v>207</v>
      </c>
      <c r="G146" s="8">
        <f t="shared" si="5"/>
        <v>211</v>
      </c>
      <c r="H146" s="23"/>
      <c r="J146"/>
      <c r="K146"/>
      <c r="L146"/>
      <c r="O146"/>
      <c r="P146"/>
      <c r="Q146"/>
      <c r="R146"/>
      <c r="S146"/>
      <c r="T146"/>
    </row>
    <row r="147" spans="1:20">
      <c r="A147" s="8">
        <v>100</v>
      </c>
      <c r="B147" s="4" t="s">
        <v>215</v>
      </c>
      <c r="C147" s="8">
        <v>6</v>
      </c>
      <c r="D147" s="37" t="s">
        <v>216</v>
      </c>
      <c r="E147" s="8">
        <v>2</v>
      </c>
      <c r="F147" s="8">
        <f t="shared" si="4"/>
        <v>212</v>
      </c>
      <c r="G147" s="8">
        <f t="shared" si="5"/>
        <v>213</v>
      </c>
      <c r="H147" s="13"/>
      <c r="J147"/>
      <c r="K147"/>
      <c r="L147"/>
      <c r="O147"/>
      <c r="P147"/>
      <c r="Q147"/>
      <c r="R147"/>
      <c r="S147"/>
      <c r="T147"/>
    </row>
    <row r="148" spans="1:20">
      <c r="A148" s="23">
        <v>101</v>
      </c>
      <c r="B148" s="4" t="s">
        <v>217</v>
      </c>
      <c r="C148" s="8">
        <v>6</v>
      </c>
      <c r="D148" s="37" t="s">
        <v>218</v>
      </c>
      <c r="E148" s="8">
        <v>2</v>
      </c>
      <c r="F148" s="8">
        <f t="shared" si="4"/>
        <v>214</v>
      </c>
      <c r="G148" s="8">
        <f t="shared" si="5"/>
        <v>215</v>
      </c>
      <c r="H148" s="13"/>
      <c r="J148"/>
      <c r="K148"/>
      <c r="L148"/>
      <c r="O148"/>
      <c r="P148"/>
      <c r="Q148"/>
      <c r="R148"/>
      <c r="S148"/>
      <c r="T148"/>
    </row>
    <row r="149" spans="1:20">
      <c r="A149" s="8">
        <v>102</v>
      </c>
      <c r="B149" s="4" t="s">
        <v>168</v>
      </c>
      <c r="C149" s="8">
        <v>6</v>
      </c>
      <c r="D149" s="37" t="s">
        <v>219</v>
      </c>
      <c r="E149" s="8">
        <v>2</v>
      </c>
      <c r="F149" s="8">
        <f t="shared" si="4"/>
        <v>216</v>
      </c>
      <c r="G149" s="8">
        <f t="shared" si="5"/>
        <v>217</v>
      </c>
      <c r="H149" s="13"/>
      <c r="J149"/>
      <c r="K149"/>
      <c r="L149"/>
      <c r="O149"/>
      <c r="P149"/>
      <c r="Q149"/>
      <c r="R149"/>
      <c r="S149"/>
      <c r="T149"/>
    </row>
    <row r="150" spans="1:20">
      <c r="A150" s="8">
        <v>103</v>
      </c>
      <c r="B150" s="4" t="s">
        <v>170</v>
      </c>
      <c r="C150" s="8">
        <v>6</v>
      </c>
      <c r="D150" s="37" t="s">
        <v>220</v>
      </c>
      <c r="E150" s="8">
        <v>2</v>
      </c>
      <c r="F150" s="8">
        <f t="shared" si="4"/>
        <v>218</v>
      </c>
      <c r="G150" s="8">
        <f t="shared" si="5"/>
        <v>219</v>
      </c>
      <c r="H150" s="13"/>
      <c r="J150"/>
      <c r="K150"/>
      <c r="L150"/>
      <c r="O150"/>
      <c r="P150"/>
      <c r="Q150"/>
      <c r="R150"/>
      <c r="S150"/>
      <c r="T150"/>
    </row>
    <row r="151" spans="1:20">
      <c r="A151" s="8">
        <v>104</v>
      </c>
      <c r="B151" s="4" t="s">
        <v>221</v>
      </c>
      <c r="C151" s="8">
        <v>6</v>
      </c>
      <c r="D151" s="37" t="s">
        <v>222</v>
      </c>
      <c r="E151" s="8">
        <v>2</v>
      </c>
      <c r="F151" s="8">
        <f t="shared" si="4"/>
        <v>220</v>
      </c>
      <c r="G151" s="8">
        <f t="shared" si="5"/>
        <v>221</v>
      </c>
      <c r="H151" s="13"/>
      <c r="J151"/>
      <c r="K151"/>
      <c r="L151"/>
      <c r="O151"/>
      <c r="P151"/>
      <c r="Q151"/>
      <c r="R151"/>
      <c r="S151"/>
      <c r="T151"/>
    </row>
    <row r="152" spans="1:20">
      <c r="A152" s="23">
        <v>105</v>
      </c>
      <c r="B152" s="4" t="s">
        <v>223</v>
      </c>
      <c r="C152" s="8">
        <v>6</v>
      </c>
      <c r="D152" s="37" t="s">
        <v>224</v>
      </c>
      <c r="E152" s="8">
        <v>5</v>
      </c>
      <c r="F152" s="8">
        <f t="shared" si="4"/>
        <v>222</v>
      </c>
      <c r="G152" s="8">
        <f t="shared" si="5"/>
        <v>226</v>
      </c>
      <c r="H152" s="13"/>
      <c r="J152"/>
      <c r="K152"/>
      <c r="L152"/>
      <c r="O152"/>
      <c r="P152"/>
      <c r="Q152"/>
      <c r="R152"/>
      <c r="S152"/>
      <c r="T152"/>
    </row>
    <row r="153" spans="1:20">
      <c r="A153" s="8">
        <v>106</v>
      </c>
      <c r="B153" s="4" t="s">
        <v>176</v>
      </c>
      <c r="C153" s="8">
        <v>6</v>
      </c>
      <c r="D153" s="37" t="s">
        <v>219</v>
      </c>
      <c r="E153" s="8">
        <v>2</v>
      </c>
      <c r="F153" s="8">
        <f t="shared" si="4"/>
        <v>227</v>
      </c>
      <c r="G153" s="8">
        <f t="shared" si="5"/>
        <v>228</v>
      </c>
      <c r="H153" s="13"/>
      <c r="J153"/>
      <c r="K153"/>
      <c r="L153"/>
      <c r="O153"/>
      <c r="P153"/>
      <c r="Q153"/>
      <c r="R153"/>
      <c r="S153"/>
      <c r="T153"/>
    </row>
    <row r="154" spans="1:20">
      <c r="A154" s="8">
        <v>107</v>
      </c>
      <c r="B154" s="4" t="s">
        <v>177</v>
      </c>
      <c r="C154" s="8">
        <v>6</v>
      </c>
      <c r="D154" s="37" t="s">
        <v>220</v>
      </c>
      <c r="E154" s="8">
        <v>2</v>
      </c>
      <c r="F154" s="8">
        <f t="shared" si="4"/>
        <v>229</v>
      </c>
      <c r="G154" s="8">
        <f t="shared" si="5"/>
        <v>230</v>
      </c>
      <c r="H154" s="13"/>
      <c r="J154"/>
      <c r="K154"/>
      <c r="L154"/>
      <c r="O154"/>
      <c r="P154"/>
      <c r="Q154"/>
      <c r="R154"/>
      <c r="S154"/>
      <c r="T154"/>
    </row>
    <row r="155" spans="1:20">
      <c r="A155" s="8">
        <v>108</v>
      </c>
      <c r="B155" s="4" t="s">
        <v>225</v>
      </c>
      <c r="C155" s="8">
        <v>6</v>
      </c>
      <c r="D155" s="37" t="s">
        <v>222</v>
      </c>
      <c r="E155" s="8">
        <v>2</v>
      </c>
      <c r="F155" s="8">
        <f t="shared" si="4"/>
        <v>231</v>
      </c>
      <c r="G155" s="8">
        <f t="shared" si="5"/>
        <v>232</v>
      </c>
      <c r="H155" s="13"/>
      <c r="J155"/>
      <c r="K155"/>
      <c r="L155"/>
      <c r="O155"/>
      <c r="P155"/>
      <c r="Q155"/>
      <c r="R155"/>
      <c r="S155"/>
      <c r="T155"/>
    </row>
    <row r="156" spans="1:20">
      <c r="A156" s="23">
        <v>109</v>
      </c>
      <c r="B156" s="4" t="s">
        <v>226</v>
      </c>
      <c r="C156" s="8">
        <v>6</v>
      </c>
      <c r="D156" s="37" t="s">
        <v>224</v>
      </c>
      <c r="E156" s="8">
        <v>5</v>
      </c>
      <c r="F156" s="8">
        <f t="shared" si="4"/>
        <v>233</v>
      </c>
      <c r="G156" s="8">
        <f t="shared" si="5"/>
        <v>237</v>
      </c>
      <c r="H156" s="13"/>
      <c r="J156"/>
      <c r="K156"/>
      <c r="L156"/>
      <c r="O156"/>
      <c r="P156"/>
      <c r="Q156"/>
      <c r="R156"/>
      <c r="S156"/>
      <c r="T156"/>
    </row>
    <row r="157" spans="1:20">
      <c r="A157" s="8">
        <v>110</v>
      </c>
      <c r="B157" s="4" t="s">
        <v>227</v>
      </c>
      <c r="C157" s="8">
        <v>6</v>
      </c>
      <c r="D157" s="37" t="s">
        <v>228</v>
      </c>
      <c r="E157" s="8">
        <v>2</v>
      </c>
      <c r="F157" s="8">
        <f t="shared" si="4"/>
        <v>238</v>
      </c>
      <c r="G157" s="8">
        <f t="shared" si="5"/>
        <v>239</v>
      </c>
      <c r="H157" s="13"/>
      <c r="J157"/>
      <c r="K157"/>
      <c r="L157"/>
      <c r="O157"/>
      <c r="P157"/>
      <c r="Q157"/>
      <c r="R157"/>
      <c r="S157"/>
      <c r="T157"/>
    </row>
    <row r="158" spans="1:20">
      <c r="A158" s="8">
        <v>111</v>
      </c>
      <c r="B158" s="4" t="s">
        <v>229</v>
      </c>
      <c r="C158" s="8">
        <v>6</v>
      </c>
      <c r="D158" s="37" t="s">
        <v>230</v>
      </c>
      <c r="E158" s="8">
        <v>2</v>
      </c>
      <c r="F158" s="8">
        <f t="shared" si="4"/>
        <v>240</v>
      </c>
      <c r="G158" s="8">
        <f t="shared" si="5"/>
        <v>241</v>
      </c>
      <c r="H158" s="13"/>
      <c r="J158"/>
      <c r="K158"/>
      <c r="L158"/>
      <c r="O158"/>
      <c r="P158"/>
      <c r="Q158"/>
      <c r="R158"/>
      <c r="S158"/>
      <c r="T158"/>
    </row>
    <row r="159" spans="1:20">
      <c r="A159" s="8">
        <v>112</v>
      </c>
      <c r="B159" s="4" t="s">
        <v>168</v>
      </c>
      <c r="C159" s="8">
        <v>6</v>
      </c>
      <c r="D159" s="37" t="s">
        <v>231</v>
      </c>
      <c r="E159" s="8">
        <v>2</v>
      </c>
      <c r="F159" s="8">
        <f t="shared" si="4"/>
        <v>242</v>
      </c>
      <c r="G159" s="8">
        <f t="shared" si="5"/>
        <v>243</v>
      </c>
      <c r="H159" s="13"/>
      <c r="J159"/>
      <c r="K159"/>
      <c r="L159"/>
      <c r="O159"/>
      <c r="P159"/>
      <c r="Q159"/>
      <c r="R159"/>
      <c r="S159"/>
      <c r="T159"/>
    </row>
    <row r="160" spans="1:20">
      <c r="A160" s="23">
        <v>113</v>
      </c>
      <c r="B160" s="4" t="s">
        <v>170</v>
      </c>
      <c r="C160" s="8">
        <v>6</v>
      </c>
      <c r="D160" s="37" t="s">
        <v>232</v>
      </c>
      <c r="E160" s="8">
        <v>2</v>
      </c>
      <c r="F160" s="8">
        <f t="shared" si="4"/>
        <v>244</v>
      </c>
      <c r="G160" s="8">
        <f t="shared" si="5"/>
        <v>245</v>
      </c>
      <c r="H160" s="13"/>
      <c r="J160"/>
      <c r="K160"/>
      <c r="L160"/>
      <c r="O160"/>
      <c r="P160"/>
      <c r="Q160"/>
      <c r="R160"/>
      <c r="S160"/>
      <c r="T160"/>
    </row>
    <row r="161" spans="1:20">
      <c r="A161" s="8">
        <v>114</v>
      </c>
      <c r="B161" s="4" t="s">
        <v>233</v>
      </c>
      <c r="C161" s="8">
        <v>6</v>
      </c>
      <c r="D161" s="37" t="s">
        <v>234</v>
      </c>
      <c r="E161" s="8">
        <v>2</v>
      </c>
      <c r="F161" s="8">
        <f t="shared" si="4"/>
        <v>246</v>
      </c>
      <c r="G161" s="8">
        <f t="shared" si="5"/>
        <v>247</v>
      </c>
      <c r="H161" s="13"/>
      <c r="J161"/>
      <c r="K161"/>
      <c r="L161"/>
      <c r="O161"/>
      <c r="P161"/>
      <c r="Q161"/>
      <c r="R161"/>
      <c r="S161"/>
      <c r="T161"/>
    </row>
    <row r="162" spans="1:20">
      <c r="A162" s="8">
        <v>115</v>
      </c>
      <c r="B162" s="4" t="s">
        <v>235</v>
      </c>
      <c r="C162" s="8">
        <v>6</v>
      </c>
      <c r="D162" s="37" t="s">
        <v>236</v>
      </c>
      <c r="E162" s="8">
        <v>5</v>
      </c>
      <c r="F162" s="8">
        <f t="shared" si="4"/>
        <v>248</v>
      </c>
      <c r="G162" s="8">
        <f t="shared" si="5"/>
        <v>252</v>
      </c>
      <c r="H162" s="13"/>
      <c r="J162"/>
      <c r="K162"/>
      <c r="L162"/>
      <c r="O162"/>
      <c r="P162"/>
      <c r="Q162"/>
      <c r="R162"/>
      <c r="S162"/>
      <c r="T162"/>
    </row>
    <row r="163" spans="1:20">
      <c r="A163" s="8">
        <v>116</v>
      </c>
      <c r="B163" s="4" t="s">
        <v>176</v>
      </c>
      <c r="C163" s="8">
        <v>6</v>
      </c>
      <c r="D163" s="37" t="s">
        <v>231</v>
      </c>
      <c r="E163" s="8">
        <v>2</v>
      </c>
      <c r="F163" s="8">
        <f t="shared" si="4"/>
        <v>253</v>
      </c>
      <c r="G163" s="8">
        <f t="shared" si="5"/>
        <v>254</v>
      </c>
      <c r="H163" s="13"/>
      <c r="J163"/>
      <c r="K163"/>
      <c r="L163"/>
      <c r="O163"/>
      <c r="P163"/>
      <c r="Q163"/>
      <c r="R163"/>
      <c r="S163"/>
      <c r="T163"/>
    </row>
    <row r="164" spans="1:20">
      <c r="A164" s="23">
        <v>117</v>
      </c>
      <c r="B164" s="4" t="s">
        <v>177</v>
      </c>
      <c r="C164" s="8">
        <v>6</v>
      </c>
      <c r="D164" s="37" t="s">
        <v>232</v>
      </c>
      <c r="E164" s="8">
        <v>2</v>
      </c>
      <c r="F164" s="8">
        <f t="shared" si="4"/>
        <v>255</v>
      </c>
      <c r="G164" s="8">
        <f t="shared" si="5"/>
        <v>256</v>
      </c>
      <c r="H164" s="13"/>
      <c r="J164"/>
      <c r="K164"/>
      <c r="L164"/>
      <c r="O164"/>
      <c r="P164"/>
      <c r="Q164"/>
      <c r="R164"/>
      <c r="S164"/>
      <c r="T164"/>
    </row>
    <row r="165" spans="1:20">
      <c r="A165" s="8">
        <v>118</v>
      </c>
      <c r="B165" s="4" t="s">
        <v>237</v>
      </c>
      <c r="C165" s="8">
        <v>6</v>
      </c>
      <c r="D165" s="37" t="s">
        <v>234</v>
      </c>
      <c r="E165" s="8">
        <v>2</v>
      </c>
      <c r="F165" s="8">
        <f t="shared" si="4"/>
        <v>257</v>
      </c>
      <c r="G165" s="8">
        <f t="shared" si="5"/>
        <v>258</v>
      </c>
      <c r="H165" s="13"/>
      <c r="J165"/>
      <c r="K165"/>
      <c r="L165"/>
      <c r="O165"/>
      <c r="P165"/>
      <c r="Q165"/>
      <c r="R165"/>
      <c r="S165"/>
      <c r="T165"/>
    </row>
    <row r="166" spans="1:20">
      <c r="A166" s="8">
        <v>119</v>
      </c>
      <c r="B166" s="4" t="s">
        <v>238</v>
      </c>
      <c r="C166" s="8">
        <v>6</v>
      </c>
      <c r="D166" s="37" t="s">
        <v>236</v>
      </c>
      <c r="E166" s="8">
        <v>5</v>
      </c>
      <c r="F166" s="8">
        <f t="shared" si="4"/>
        <v>259</v>
      </c>
      <c r="G166" s="8">
        <f t="shared" si="5"/>
        <v>263</v>
      </c>
      <c r="H166" s="13"/>
      <c r="J166"/>
      <c r="K166"/>
      <c r="L166"/>
      <c r="O166"/>
      <c r="P166"/>
      <c r="Q166"/>
      <c r="R166"/>
      <c r="S166"/>
      <c r="T166"/>
    </row>
    <row r="167" spans="1:20">
      <c r="A167" s="8">
        <v>120</v>
      </c>
      <c r="B167" s="4" t="s">
        <v>239</v>
      </c>
      <c r="C167" s="8">
        <v>6</v>
      </c>
      <c r="D167" s="37" t="s">
        <v>240</v>
      </c>
      <c r="E167" s="8">
        <v>2</v>
      </c>
      <c r="F167" s="8">
        <f t="shared" si="4"/>
        <v>264</v>
      </c>
      <c r="G167" s="8">
        <f t="shared" si="5"/>
        <v>265</v>
      </c>
      <c r="H167" s="13"/>
      <c r="J167"/>
      <c r="K167"/>
      <c r="L167"/>
      <c r="O167"/>
      <c r="P167"/>
      <c r="Q167"/>
      <c r="R167"/>
      <c r="S167"/>
      <c r="T167"/>
    </row>
    <row r="168" spans="1:20">
      <c r="A168" s="23">
        <v>121</v>
      </c>
      <c r="B168" s="4" t="s">
        <v>241</v>
      </c>
      <c r="C168" s="8">
        <v>6</v>
      </c>
      <c r="D168" s="37" t="s">
        <v>242</v>
      </c>
      <c r="E168" s="8">
        <v>2</v>
      </c>
      <c r="F168" s="8">
        <f t="shared" si="4"/>
        <v>266</v>
      </c>
      <c r="G168" s="8">
        <f t="shared" si="5"/>
        <v>267</v>
      </c>
      <c r="H168" s="13"/>
      <c r="J168"/>
      <c r="K168"/>
      <c r="L168"/>
      <c r="O168"/>
      <c r="P168"/>
      <c r="Q168"/>
      <c r="R168"/>
      <c r="S168"/>
      <c r="T168"/>
    </row>
    <row r="169" spans="1:20">
      <c r="A169" s="8">
        <v>122</v>
      </c>
      <c r="B169" s="4" t="s">
        <v>168</v>
      </c>
      <c r="C169" s="8">
        <v>6</v>
      </c>
      <c r="D169" s="37" t="s">
        <v>243</v>
      </c>
      <c r="E169" s="8">
        <v>2</v>
      </c>
      <c r="F169" s="8">
        <f t="shared" si="4"/>
        <v>268</v>
      </c>
      <c r="G169" s="8">
        <f t="shared" si="5"/>
        <v>269</v>
      </c>
      <c r="H169" s="13"/>
      <c r="J169"/>
      <c r="K169"/>
      <c r="L169"/>
      <c r="O169"/>
      <c r="P169"/>
      <c r="Q169"/>
      <c r="R169"/>
      <c r="S169"/>
      <c r="T169"/>
    </row>
    <row r="170" spans="1:20">
      <c r="A170" s="8">
        <v>123</v>
      </c>
      <c r="B170" s="4" t="s">
        <v>170</v>
      </c>
      <c r="C170" s="8">
        <v>6</v>
      </c>
      <c r="D170" s="37" t="s">
        <v>244</v>
      </c>
      <c r="E170" s="8">
        <v>2</v>
      </c>
      <c r="F170" s="8">
        <f t="shared" si="4"/>
        <v>270</v>
      </c>
      <c r="G170" s="8">
        <f t="shared" si="5"/>
        <v>271</v>
      </c>
      <c r="H170" s="13"/>
      <c r="J170"/>
      <c r="K170"/>
      <c r="L170"/>
      <c r="O170"/>
      <c r="P170"/>
      <c r="Q170"/>
      <c r="R170"/>
      <c r="S170"/>
      <c r="T170"/>
    </row>
    <row r="171" spans="1:20">
      <c r="A171" s="8">
        <v>124</v>
      </c>
      <c r="B171" s="4" t="s">
        <v>245</v>
      </c>
      <c r="C171" s="8">
        <v>6</v>
      </c>
      <c r="D171" s="37" t="s">
        <v>246</v>
      </c>
      <c r="E171" s="8">
        <v>2</v>
      </c>
      <c r="F171" s="8">
        <f t="shared" si="4"/>
        <v>272</v>
      </c>
      <c r="G171" s="8">
        <f t="shared" si="5"/>
        <v>273</v>
      </c>
      <c r="H171" s="13"/>
      <c r="J171"/>
      <c r="K171"/>
      <c r="L171"/>
      <c r="O171"/>
      <c r="P171"/>
      <c r="Q171"/>
      <c r="R171"/>
      <c r="S171"/>
      <c r="T171"/>
    </row>
    <row r="172" spans="1:20">
      <c r="A172" s="23">
        <v>125</v>
      </c>
      <c r="B172" s="4" t="s">
        <v>247</v>
      </c>
      <c r="C172" s="8">
        <v>6</v>
      </c>
      <c r="D172" s="37" t="s">
        <v>248</v>
      </c>
      <c r="E172" s="8">
        <v>5</v>
      </c>
      <c r="F172" s="8">
        <f t="shared" si="4"/>
        <v>274</v>
      </c>
      <c r="G172" s="8">
        <f t="shared" si="5"/>
        <v>278</v>
      </c>
      <c r="H172" s="13"/>
      <c r="J172"/>
      <c r="K172"/>
      <c r="L172"/>
      <c r="O172"/>
      <c r="P172"/>
      <c r="Q172"/>
      <c r="R172"/>
      <c r="S172"/>
      <c r="T172"/>
    </row>
    <row r="173" spans="1:20">
      <c r="A173" s="8">
        <v>126</v>
      </c>
      <c r="B173" s="4" t="s">
        <v>176</v>
      </c>
      <c r="C173" s="8">
        <v>6</v>
      </c>
      <c r="D173" s="37" t="s">
        <v>243</v>
      </c>
      <c r="E173" s="8">
        <v>2</v>
      </c>
      <c r="F173" s="8">
        <f t="shared" si="4"/>
        <v>279</v>
      </c>
      <c r="G173" s="8">
        <f t="shared" si="5"/>
        <v>280</v>
      </c>
      <c r="H173" s="13"/>
      <c r="J173"/>
      <c r="K173"/>
      <c r="L173"/>
      <c r="O173"/>
      <c r="P173"/>
      <c r="Q173"/>
      <c r="R173"/>
      <c r="S173"/>
      <c r="T173"/>
    </row>
    <row r="174" spans="1:20">
      <c r="A174" s="8">
        <v>127</v>
      </c>
      <c r="B174" s="4" t="s">
        <v>177</v>
      </c>
      <c r="C174" s="8">
        <v>6</v>
      </c>
      <c r="D174" s="37" t="s">
        <v>244</v>
      </c>
      <c r="E174" s="8">
        <v>2</v>
      </c>
      <c r="F174" s="8">
        <f t="shared" si="4"/>
        <v>281</v>
      </c>
      <c r="G174" s="8">
        <f t="shared" si="5"/>
        <v>282</v>
      </c>
      <c r="H174" s="13"/>
      <c r="J174"/>
      <c r="K174"/>
      <c r="L174"/>
      <c r="O174"/>
      <c r="P174"/>
      <c r="Q174"/>
      <c r="R174"/>
      <c r="S174"/>
      <c r="T174"/>
    </row>
    <row r="175" spans="1:20">
      <c r="A175" s="8">
        <v>128</v>
      </c>
      <c r="B175" s="4" t="s">
        <v>249</v>
      </c>
      <c r="C175" s="8">
        <v>6</v>
      </c>
      <c r="D175" s="37" t="s">
        <v>246</v>
      </c>
      <c r="E175" s="8">
        <v>2</v>
      </c>
      <c r="F175" s="8">
        <f t="shared" si="4"/>
        <v>283</v>
      </c>
      <c r="G175" s="8">
        <f t="shared" si="5"/>
        <v>284</v>
      </c>
      <c r="H175" s="13"/>
      <c r="J175"/>
      <c r="K175"/>
      <c r="L175"/>
      <c r="O175"/>
      <c r="P175"/>
      <c r="Q175"/>
      <c r="R175"/>
      <c r="S175"/>
      <c r="T175"/>
    </row>
    <row r="176" spans="1:20">
      <c r="A176" s="23">
        <v>129</v>
      </c>
      <c r="B176" s="4" t="s">
        <v>250</v>
      </c>
      <c r="C176" s="8">
        <v>6</v>
      </c>
      <c r="D176" s="37" t="s">
        <v>248</v>
      </c>
      <c r="E176" s="8">
        <v>5</v>
      </c>
      <c r="F176" s="8">
        <f t="shared" si="4"/>
        <v>285</v>
      </c>
      <c r="G176" s="8">
        <f t="shared" si="5"/>
        <v>289</v>
      </c>
      <c r="H176" s="13"/>
      <c r="J176"/>
      <c r="K176"/>
      <c r="L176"/>
      <c r="O176"/>
      <c r="P176"/>
      <c r="Q176"/>
      <c r="R176"/>
      <c r="S176"/>
      <c r="T176"/>
    </row>
    <row r="177" spans="1:170">
      <c r="A177" s="8">
        <v>130</v>
      </c>
      <c r="B177" s="4" t="s">
        <v>251</v>
      </c>
      <c r="C177" s="8">
        <v>6</v>
      </c>
      <c r="D177" s="37" t="s">
        <v>252</v>
      </c>
      <c r="E177" s="8">
        <v>2</v>
      </c>
      <c r="F177" s="8">
        <f t="shared" si="4"/>
        <v>290</v>
      </c>
      <c r="G177" s="8">
        <f t="shared" si="5"/>
        <v>291</v>
      </c>
      <c r="H177" s="13"/>
      <c r="J177"/>
      <c r="K177"/>
      <c r="L177"/>
      <c r="O177"/>
      <c r="P177"/>
      <c r="Q177"/>
      <c r="R177"/>
      <c r="S177"/>
      <c r="T177"/>
    </row>
    <row r="178" spans="1:170">
      <c r="A178" s="8">
        <v>131</v>
      </c>
      <c r="B178" s="4" t="s">
        <v>253</v>
      </c>
      <c r="C178" s="8">
        <v>6</v>
      </c>
      <c r="D178" s="37" t="s">
        <v>254</v>
      </c>
      <c r="E178" s="8">
        <v>2</v>
      </c>
      <c r="F178" s="8">
        <f t="shared" ref="F178:F187" si="6">G177+1</f>
        <v>292</v>
      </c>
      <c r="G178" s="8">
        <f t="shared" ref="G178:G187" si="7">F178+E178-1</f>
        <v>293</v>
      </c>
      <c r="H178" s="13"/>
      <c r="J178"/>
      <c r="K178"/>
      <c r="L178"/>
      <c r="O178"/>
      <c r="P178"/>
      <c r="Q178"/>
      <c r="R178"/>
      <c r="S178"/>
      <c r="T178"/>
    </row>
    <row r="179" spans="1:170" s="4" customFormat="1">
      <c r="A179" s="8">
        <v>132</v>
      </c>
      <c r="B179" s="4" t="s">
        <v>35</v>
      </c>
      <c r="C179" s="8">
        <v>6</v>
      </c>
      <c r="D179" s="37">
        <v>5</v>
      </c>
      <c r="E179" s="8">
        <v>2</v>
      </c>
      <c r="F179" s="8">
        <f t="shared" si="6"/>
        <v>294</v>
      </c>
      <c r="G179" s="8">
        <f t="shared" si="7"/>
        <v>295</v>
      </c>
      <c r="H179" s="13"/>
      <c r="I179" s="5"/>
      <c r="J179"/>
      <c r="K179"/>
      <c r="L179"/>
      <c r="M179" s="3"/>
      <c r="N179" s="5"/>
      <c r="O179"/>
      <c r="P179"/>
      <c r="Q179"/>
      <c r="R179"/>
      <c r="S179"/>
      <c r="T179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</row>
    <row r="180" spans="1:170">
      <c r="A180" s="23">
        <v>133</v>
      </c>
      <c r="B180" s="4" t="s">
        <v>36</v>
      </c>
      <c r="C180" s="8">
        <v>6</v>
      </c>
      <c r="D180" s="37">
        <v>6</v>
      </c>
      <c r="E180" s="8">
        <v>2</v>
      </c>
      <c r="F180" s="8">
        <f t="shared" si="6"/>
        <v>296</v>
      </c>
      <c r="G180" s="8">
        <f t="shared" si="7"/>
        <v>297</v>
      </c>
      <c r="H180" s="13"/>
      <c r="J180"/>
      <c r="K180"/>
      <c r="L180"/>
      <c r="O180"/>
      <c r="P180"/>
      <c r="Q180"/>
      <c r="R180"/>
      <c r="S180"/>
      <c r="T180"/>
    </row>
    <row r="181" spans="1:170">
      <c r="A181" s="8">
        <v>134</v>
      </c>
      <c r="B181" s="4" t="s">
        <v>122</v>
      </c>
      <c r="C181" s="8">
        <v>6</v>
      </c>
      <c r="D181" s="37">
        <v>7</v>
      </c>
      <c r="E181" s="8">
        <v>3</v>
      </c>
      <c r="F181" s="8">
        <f t="shared" si="6"/>
        <v>298</v>
      </c>
      <c r="G181" s="8">
        <f t="shared" si="7"/>
        <v>300</v>
      </c>
      <c r="H181" s="13"/>
      <c r="J181"/>
      <c r="K181"/>
      <c r="L181"/>
      <c r="O181"/>
      <c r="P181"/>
      <c r="Q181"/>
      <c r="R181"/>
      <c r="S181"/>
      <c r="T181"/>
    </row>
    <row r="182" spans="1:170">
      <c r="A182" s="8">
        <v>135</v>
      </c>
      <c r="B182" s="4" t="s">
        <v>255</v>
      </c>
      <c r="C182" s="8">
        <v>6</v>
      </c>
      <c r="D182" s="37">
        <v>9</v>
      </c>
      <c r="E182" s="8">
        <v>8</v>
      </c>
      <c r="F182" s="8">
        <f t="shared" si="6"/>
        <v>301</v>
      </c>
      <c r="G182" s="8">
        <f t="shared" si="7"/>
        <v>308</v>
      </c>
      <c r="H182" s="13"/>
      <c r="J182"/>
      <c r="K182"/>
      <c r="L182"/>
      <c r="O182"/>
      <c r="P182"/>
      <c r="Q182"/>
      <c r="R182"/>
      <c r="S182"/>
      <c r="T182"/>
    </row>
    <row r="183" spans="1:170">
      <c r="A183" s="8">
        <v>136</v>
      </c>
      <c r="B183" s="4" t="s">
        <v>256</v>
      </c>
      <c r="C183" s="8">
        <v>6</v>
      </c>
      <c r="D183" s="37">
        <v>10</v>
      </c>
      <c r="E183" s="8">
        <v>8</v>
      </c>
      <c r="F183" s="8">
        <f t="shared" si="6"/>
        <v>309</v>
      </c>
      <c r="G183" s="8">
        <f t="shared" si="7"/>
        <v>316</v>
      </c>
      <c r="H183" s="13"/>
      <c r="J183"/>
      <c r="K183"/>
      <c r="L183"/>
      <c r="O183"/>
      <c r="P183"/>
      <c r="Q183"/>
      <c r="R183"/>
      <c r="S183"/>
      <c r="T183"/>
    </row>
    <row r="184" spans="1:170">
      <c r="A184" s="23">
        <v>137</v>
      </c>
      <c r="B184" s="4" t="s">
        <v>110</v>
      </c>
      <c r="C184" s="37" t="s">
        <v>30</v>
      </c>
      <c r="D184" s="8"/>
      <c r="E184" s="8">
        <v>3</v>
      </c>
      <c r="F184" s="8">
        <f t="shared" si="6"/>
        <v>317</v>
      </c>
      <c r="G184" s="8">
        <f t="shared" si="7"/>
        <v>319</v>
      </c>
      <c r="H184" s="23" t="s">
        <v>108</v>
      </c>
      <c r="J184"/>
      <c r="K184"/>
      <c r="L184"/>
      <c r="O184"/>
      <c r="P184"/>
      <c r="Q184"/>
      <c r="R184"/>
      <c r="S184"/>
      <c r="T184"/>
    </row>
    <row r="185" spans="1:170">
      <c r="A185" s="8">
        <v>138</v>
      </c>
      <c r="B185" s="4" t="s">
        <v>109</v>
      </c>
      <c r="C185" s="37" t="s">
        <v>30</v>
      </c>
      <c r="D185" s="8"/>
      <c r="E185" s="8">
        <v>3</v>
      </c>
      <c r="F185" s="8">
        <f t="shared" si="6"/>
        <v>320</v>
      </c>
      <c r="G185" s="8">
        <f t="shared" si="7"/>
        <v>322</v>
      </c>
      <c r="H185" s="23" t="s">
        <v>107</v>
      </c>
      <c r="J185"/>
      <c r="K185"/>
      <c r="L185"/>
      <c r="O185"/>
      <c r="P185"/>
      <c r="Q185"/>
      <c r="R185"/>
      <c r="S185"/>
      <c r="T185"/>
    </row>
    <row r="186" spans="1:170">
      <c r="A186" s="8">
        <v>139</v>
      </c>
      <c r="B186" s="4" t="s">
        <v>111</v>
      </c>
      <c r="C186" s="37" t="s">
        <v>30</v>
      </c>
      <c r="D186" s="8"/>
      <c r="E186" s="8">
        <v>10</v>
      </c>
      <c r="F186" s="8">
        <f t="shared" si="6"/>
        <v>323</v>
      </c>
      <c r="G186" s="8">
        <f t="shared" si="7"/>
        <v>332</v>
      </c>
      <c r="H186" s="23" t="s">
        <v>112</v>
      </c>
      <c r="J186"/>
      <c r="K186"/>
      <c r="L186"/>
      <c r="O186"/>
      <c r="P186"/>
      <c r="Q186"/>
      <c r="R186"/>
      <c r="S186"/>
      <c r="T186"/>
    </row>
    <row r="187" spans="1:170" s="39" customFormat="1" ht="31.2">
      <c r="A187" s="8">
        <v>140</v>
      </c>
      <c r="B187" s="32" t="s">
        <v>264</v>
      </c>
      <c r="C187" s="37" t="s">
        <v>30</v>
      </c>
      <c r="D187" s="8"/>
      <c r="E187" s="8">
        <v>1</v>
      </c>
      <c r="F187" s="8">
        <f t="shared" si="6"/>
        <v>333</v>
      </c>
      <c r="G187" s="8">
        <f t="shared" si="7"/>
        <v>333</v>
      </c>
      <c r="H187" s="8" t="s">
        <v>130</v>
      </c>
      <c r="I187" s="3"/>
      <c r="J187"/>
      <c r="K187"/>
      <c r="L187"/>
      <c r="M187" s="3"/>
      <c r="N187" s="3"/>
      <c r="O187"/>
      <c r="P187"/>
      <c r="Q187"/>
      <c r="R187"/>
      <c r="S187"/>
      <c r="T187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</row>
    <row r="188" spans="1:170" s="3" customFormat="1">
      <c r="A188" s="41"/>
      <c r="B188" s="42"/>
      <c r="C188" s="43"/>
      <c r="D188" s="41"/>
      <c r="E188" s="41"/>
      <c r="F188" s="41"/>
      <c r="G188" s="41"/>
      <c r="H188" s="41"/>
    </row>
    <row r="189" spans="1:170" s="3" customFormat="1" ht="15.75" customHeight="1">
      <c r="A189" s="41"/>
      <c r="B189" s="47"/>
      <c r="C189" s="41"/>
      <c r="D189" s="41"/>
      <c r="E189" s="41"/>
      <c r="F189" s="41"/>
      <c r="G189" s="41"/>
      <c r="H189" s="41"/>
    </row>
    <row r="190" spans="1:170" s="3" customFormat="1">
      <c r="A190" s="41"/>
      <c r="B190" s="42"/>
      <c r="C190" s="41"/>
      <c r="D190" s="41"/>
      <c r="E190" s="41"/>
      <c r="F190" s="41"/>
      <c r="G190" s="41"/>
      <c r="H190" s="41"/>
    </row>
    <row r="191" spans="1:170" s="3" customFormat="1">
      <c r="A191" s="41"/>
      <c r="B191" s="42"/>
      <c r="C191" s="41"/>
      <c r="D191" s="41"/>
      <c r="E191" s="41"/>
      <c r="F191" s="41"/>
      <c r="G191" s="41"/>
      <c r="H191" s="41"/>
    </row>
    <row r="192" spans="1:170" s="3" customFormat="1">
      <c r="A192" s="41"/>
      <c r="B192" s="42"/>
      <c r="C192" s="41"/>
      <c r="D192" s="41"/>
      <c r="E192" s="41"/>
      <c r="F192" s="41"/>
      <c r="G192" s="41"/>
      <c r="H192" s="41"/>
    </row>
    <row r="193" spans="1:8" s="3" customFormat="1">
      <c r="A193" s="41"/>
      <c r="B193" s="42"/>
      <c r="C193" s="43"/>
      <c r="D193" s="41"/>
      <c r="E193" s="41"/>
      <c r="F193" s="41"/>
      <c r="G193" s="41"/>
      <c r="H193" s="41"/>
    </row>
    <row r="194" spans="1:8" s="3" customFormat="1">
      <c r="A194" s="41"/>
      <c r="B194" s="42"/>
      <c r="C194" s="43"/>
      <c r="D194" s="41"/>
      <c r="E194" s="41"/>
      <c r="F194" s="41"/>
      <c r="G194" s="41"/>
      <c r="H194" s="41"/>
    </row>
    <row r="195" spans="1:8" s="3" customFormat="1">
      <c r="A195" s="41"/>
      <c r="B195" s="42"/>
      <c r="C195" s="43"/>
      <c r="D195" s="41"/>
      <c r="E195" s="41"/>
      <c r="F195" s="41"/>
      <c r="G195" s="41"/>
      <c r="H195" s="41"/>
    </row>
    <row r="196" spans="1:8" s="3" customFormat="1">
      <c r="A196" s="41"/>
      <c r="B196" s="42"/>
      <c r="C196" s="43"/>
      <c r="D196" s="41"/>
      <c r="E196" s="41"/>
      <c r="F196" s="41"/>
      <c r="G196" s="41"/>
      <c r="H196" s="41"/>
    </row>
    <row r="197" spans="1:8" s="3" customFormat="1">
      <c r="A197" s="41"/>
      <c r="B197" s="42"/>
      <c r="C197" s="43"/>
      <c r="D197" s="41"/>
      <c r="E197" s="41"/>
      <c r="F197" s="41"/>
      <c r="G197" s="41"/>
      <c r="H197" s="41"/>
    </row>
    <row r="198" spans="1:8" s="3" customFormat="1">
      <c r="A198" s="41"/>
      <c r="B198" s="42"/>
      <c r="C198" s="43"/>
      <c r="D198" s="41"/>
      <c r="E198" s="41"/>
      <c r="F198" s="41"/>
      <c r="G198" s="41"/>
      <c r="H198" s="41"/>
    </row>
    <row r="199" spans="1:8" s="3" customFormat="1">
      <c r="A199" s="41"/>
      <c r="B199" s="41"/>
      <c r="C199" s="44"/>
      <c r="D199" s="44"/>
      <c r="E199" s="45"/>
      <c r="F199" s="41"/>
      <c r="G199" s="41"/>
      <c r="H199" s="41"/>
    </row>
    <row r="200" spans="1:8" s="3" customFormat="1">
      <c r="A200" s="41"/>
      <c r="B200" s="41"/>
      <c r="C200" s="43"/>
      <c r="D200" s="43"/>
      <c r="E200" s="41"/>
      <c r="F200" s="41"/>
      <c r="G200" s="41"/>
      <c r="H200" s="41"/>
    </row>
    <row r="201" spans="1:8" s="3" customFormat="1">
      <c r="A201" s="41"/>
      <c r="B201" s="41"/>
      <c r="C201" s="41"/>
      <c r="D201" s="41"/>
      <c r="E201" s="41"/>
      <c r="F201" s="41"/>
      <c r="G201" s="41"/>
      <c r="H201" s="41"/>
    </row>
    <row r="202" spans="1:8" s="3" customFormat="1">
      <c r="A202" s="41"/>
      <c r="B202" s="41"/>
      <c r="C202" s="41"/>
      <c r="D202" s="41"/>
      <c r="E202" s="41"/>
      <c r="F202" s="41"/>
      <c r="G202" s="41"/>
      <c r="H202" s="41"/>
    </row>
    <row r="203" spans="1:8" s="3" customFormat="1">
      <c r="A203" s="41"/>
      <c r="B203" s="41"/>
      <c r="C203" s="41"/>
      <c r="D203" s="41"/>
      <c r="E203" s="41"/>
      <c r="F203" s="41"/>
      <c r="G203" s="41"/>
      <c r="H203" s="41"/>
    </row>
    <row r="204" spans="1:8" s="3" customFormat="1">
      <c r="A204" s="41"/>
      <c r="B204" s="41"/>
      <c r="C204" s="41"/>
      <c r="D204" s="41"/>
      <c r="E204" s="41"/>
      <c r="F204" s="41"/>
      <c r="G204" s="41"/>
      <c r="H204" s="41"/>
    </row>
    <row r="205" spans="1:8" s="3" customFormat="1">
      <c r="A205" s="41"/>
      <c r="B205" s="41"/>
      <c r="C205" s="41"/>
      <c r="D205" s="41"/>
      <c r="E205" s="41"/>
      <c r="F205" s="41"/>
      <c r="G205" s="41"/>
      <c r="H205" s="41"/>
    </row>
    <row r="206" spans="1:8" s="3" customFormat="1">
      <c r="A206" s="41"/>
      <c r="B206" s="41"/>
      <c r="C206" s="41"/>
      <c r="D206" s="41"/>
      <c r="E206" s="41"/>
      <c r="F206" s="41"/>
      <c r="G206" s="41"/>
      <c r="H206" s="41"/>
    </row>
    <row r="207" spans="1:8" s="3" customFormat="1">
      <c r="A207" s="41"/>
      <c r="B207" s="41"/>
      <c r="C207" s="41"/>
      <c r="D207" s="41"/>
      <c r="E207" s="41"/>
      <c r="F207" s="41"/>
      <c r="G207" s="41"/>
      <c r="H207" s="41"/>
    </row>
    <row r="208" spans="1:8" s="3" customFormat="1">
      <c r="A208" s="41"/>
      <c r="B208" s="41"/>
      <c r="C208" s="41"/>
      <c r="D208" s="41"/>
      <c r="E208" s="41"/>
      <c r="F208" s="41"/>
      <c r="G208" s="41"/>
      <c r="H208" s="41"/>
    </row>
    <row r="209" spans="1:8" s="3" customFormat="1">
      <c r="A209" s="41"/>
      <c r="B209" s="41"/>
      <c r="C209" s="41"/>
      <c r="D209" s="41"/>
      <c r="E209" s="41"/>
      <c r="F209" s="41"/>
      <c r="G209" s="41"/>
      <c r="H209" s="41"/>
    </row>
    <row r="210" spans="1:8" s="3" customFormat="1">
      <c r="A210" s="41"/>
      <c r="B210" s="41"/>
      <c r="C210" s="41"/>
      <c r="D210" s="41"/>
      <c r="E210" s="41"/>
      <c r="F210" s="41"/>
      <c r="G210" s="41"/>
      <c r="H210" s="41"/>
    </row>
    <row r="211" spans="1:8" s="3" customFormat="1">
      <c r="A211" s="41"/>
      <c r="B211" s="41"/>
      <c r="C211" s="41"/>
      <c r="D211" s="41"/>
      <c r="E211" s="41"/>
      <c r="F211" s="41"/>
      <c r="G211" s="41"/>
      <c r="H211" s="41"/>
    </row>
    <row r="212" spans="1:8" s="3" customFormat="1">
      <c r="A212" s="41"/>
      <c r="B212" s="41"/>
      <c r="C212" s="41"/>
      <c r="D212" s="41"/>
      <c r="E212" s="41"/>
      <c r="F212" s="41"/>
      <c r="G212" s="41"/>
      <c r="H212" s="41"/>
    </row>
    <row r="213" spans="1:8" s="3" customFormat="1">
      <c r="A213" s="41"/>
      <c r="B213" s="41"/>
      <c r="C213" s="41"/>
      <c r="D213" s="41"/>
      <c r="E213" s="41"/>
      <c r="F213" s="41"/>
      <c r="G213" s="41"/>
      <c r="H213" s="41"/>
    </row>
    <row r="214" spans="1:8" s="3" customFormat="1">
      <c r="A214" s="41"/>
      <c r="B214" s="41"/>
      <c r="C214" s="41"/>
      <c r="D214" s="41"/>
      <c r="E214" s="41"/>
      <c r="F214" s="41"/>
      <c r="G214" s="41"/>
      <c r="H214" s="41"/>
    </row>
    <row r="215" spans="1:8" s="3" customFormat="1">
      <c r="A215" s="41"/>
      <c r="B215" s="41"/>
      <c r="C215" s="41"/>
      <c r="D215" s="41"/>
      <c r="E215" s="41"/>
      <c r="F215" s="41"/>
      <c r="G215" s="41"/>
      <c r="H215" s="41"/>
    </row>
    <row r="216" spans="1:8" s="3" customFormat="1">
      <c r="A216" s="41"/>
      <c r="B216" s="41"/>
      <c r="C216" s="41"/>
      <c r="D216" s="41"/>
      <c r="E216" s="41"/>
      <c r="F216" s="41"/>
      <c r="G216" s="41"/>
      <c r="H216" s="41"/>
    </row>
    <row r="217" spans="1:8" s="3" customFormat="1">
      <c r="A217" s="41"/>
      <c r="B217" s="41"/>
      <c r="C217" s="41"/>
      <c r="D217" s="41"/>
      <c r="E217" s="41"/>
      <c r="F217" s="41"/>
      <c r="G217" s="41"/>
      <c r="H217" s="41"/>
    </row>
    <row r="218" spans="1:8" s="3" customFormat="1">
      <c r="A218" s="41"/>
      <c r="B218" s="41"/>
      <c r="C218" s="41"/>
      <c r="D218" s="43"/>
      <c r="E218" s="41"/>
      <c r="F218" s="41"/>
      <c r="G218" s="41"/>
      <c r="H218" s="41"/>
    </row>
    <row r="219" spans="1:8" s="3" customFormat="1">
      <c r="A219" s="41"/>
      <c r="B219" s="41"/>
      <c r="C219" s="41"/>
      <c r="D219" s="43"/>
      <c r="E219" s="41"/>
      <c r="F219" s="41"/>
      <c r="G219" s="41"/>
      <c r="H219" s="41"/>
    </row>
    <row r="220" spans="1:8" s="3" customFormat="1">
      <c r="A220" s="41"/>
      <c r="B220" s="41"/>
      <c r="C220" s="41"/>
      <c r="D220" s="43"/>
      <c r="E220" s="41"/>
      <c r="F220" s="41"/>
      <c r="G220" s="41"/>
      <c r="H220" s="41"/>
    </row>
    <row r="221" spans="1:8" s="3" customFormat="1">
      <c r="A221" s="41"/>
      <c r="B221" s="41"/>
      <c r="C221" s="41"/>
      <c r="D221" s="43"/>
      <c r="E221" s="41"/>
      <c r="F221" s="41"/>
      <c r="G221" s="41"/>
      <c r="H221" s="41"/>
    </row>
    <row r="222" spans="1:8" s="3" customFormat="1">
      <c r="A222" s="41"/>
      <c r="B222" s="41"/>
      <c r="C222" s="41"/>
      <c r="D222" s="43"/>
      <c r="E222" s="41"/>
      <c r="F222" s="41"/>
      <c r="G222" s="41"/>
      <c r="H222" s="41"/>
    </row>
    <row r="223" spans="1:8" s="3" customFormat="1">
      <c r="A223" s="41"/>
      <c r="B223" s="41"/>
      <c r="C223" s="41"/>
      <c r="D223" s="43"/>
      <c r="E223" s="41"/>
      <c r="F223" s="41"/>
      <c r="G223" s="41"/>
      <c r="H223" s="41"/>
    </row>
    <row r="224" spans="1:8" s="3" customFormat="1">
      <c r="A224" s="41"/>
      <c r="B224" s="41"/>
      <c r="C224" s="41"/>
      <c r="D224" s="43"/>
      <c r="E224" s="41"/>
      <c r="F224" s="41"/>
      <c r="G224" s="41"/>
      <c r="H224" s="41"/>
    </row>
    <row r="225" spans="1:8" s="3" customFormat="1">
      <c r="A225" s="41"/>
      <c r="B225" s="41"/>
      <c r="C225" s="41"/>
      <c r="D225" s="43"/>
      <c r="E225" s="41"/>
      <c r="F225" s="41"/>
      <c r="G225" s="41"/>
      <c r="H225" s="41"/>
    </row>
    <row r="226" spans="1:8" s="3" customFormat="1">
      <c r="A226" s="41"/>
      <c r="B226" s="41"/>
      <c r="C226" s="41"/>
      <c r="D226" s="43"/>
      <c r="E226" s="41"/>
      <c r="F226" s="41"/>
      <c r="G226" s="41"/>
      <c r="H226" s="41"/>
    </row>
    <row r="227" spans="1:8" s="3" customFormat="1">
      <c r="A227" s="41"/>
      <c r="B227" s="41"/>
      <c r="C227" s="41"/>
      <c r="D227" s="43"/>
      <c r="E227" s="41"/>
      <c r="F227" s="41"/>
      <c r="G227" s="41"/>
      <c r="H227" s="41"/>
    </row>
    <row r="228" spans="1:8" s="3" customFormat="1">
      <c r="A228" s="41"/>
      <c r="B228" s="41"/>
      <c r="C228" s="41"/>
      <c r="D228" s="43"/>
      <c r="E228" s="41"/>
      <c r="F228" s="41"/>
      <c r="G228" s="41"/>
      <c r="H228" s="41"/>
    </row>
    <row r="229" spans="1:8" s="3" customFormat="1">
      <c r="A229" s="41"/>
      <c r="B229" s="41"/>
      <c r="C229" s="41"/>
      <c r="D229" s="43"/>
      <c r="E229" s="41"/>
      <c r="F229" s="41"/>
      <c r="G229" s="41"/>
      <c r="H229" s="41"/>
    </row>
    <row r="230" spans="1:8" s="3" customFormat="1">
      <c r="A230" s="41"/>
      <c r="B230" s="41"/>
      <c r="C230" s="41"/>
      <c r="D230" s="43"/>
      <c r="E230" s="41"/>
      <c r="F230" s="41"/>
      <c r="G230" s="41"/>
      <c r="H230" s="41"/>
    </row>
    <row r="231" spans="1:8" s="3" customFormat="1">
      <c r="A231" s="41"/>
      <c r="B231" s="41"/>
      <c r="C231" s="41"/>
      <c r="D231" s="43"/>
      <c r="E231" s="41"/>
      <c r="F231" s="41"/>
      <c r="G231" s="41"/>
      <c r="H231" s="41"/>
    </row>
    <row r="232" spans="1:8" s="3" customFormat="1">
      <c r="A232" s="41"/>
      <c r="B232" s="41"/>
      <c r="C232" s="41"/>
      <c r="D232" s="43"/>
      <c r="E232" s="41"/>
      <c r="F232" s="41"/>
      <c r="G232" s="41"/>
      <c r="H232" s="41"/>
    </row>
    <row r="233" spans="1:8" s="3" customFormat="1">
      <c r="A233" s="41"/>
      <c r="B233" s="41"/>
      <c r="C233" s="41"/>
      <c r="D233" s="43"/>
      <c r="E233" s="41"/>
      <c r="F233" s="41"/>
      <c r="G233" s="41"/>
      <c r="H233" s="41"/>
    </row>
    <row r="234" spans="1:8" s="3" customFormat="1">
      <c r="A234" s="41"/>
      <c r="B234" s="41"/>
      <c r="C234" s="41"/>
      <c r="D234" s="43"/>
      <c r="E234" s="41"/>
      <c r="F234" s="41"/>
      <c r="G234" s="41"/>
      <c r="H234" s="41"/>
    </row>
    <row r="235" spans="1:8" s="3" customFormat="1">
      <c r="A235" s="41"/>
      <c r="B235" s="41"/>
      <c r="C235" s="41"/>
      <c r="D235" s="43"/>
      <c r="E235" s="41"/>
      <c r="F235" s="41"/>
      <c r="G235" s="41"/>
      <c r="H235" s="41"/>
    </row>
    <row r="236" spans="1:8" s="3" customFormat="1">
      <c r="A236" s="41"/>
      <c r="B236" s="41"/>
      <c r="C236" s="41"/>
      <c r="D236" s="43"/>
      <c r="E236" s="41"/>
      <c r="F236" s="41"/>
      <c r="G236" s="41"/>
      <c r="H236" s="41"/>
    </row>
    <row r="237" spans="1:8" s="3" customFormat="1">
      <c r="A237" s="41"/>
      <c r="B237" s="41"/>
      <c r="C237" s="41"/>
      <c r="D237" s="43"/>
      <c r="E237" s="41"/>
      <c r="F237" s="41"/>
      <c r="G237" s="41"/>
      <c r="H237" s="41"/>
    </row>
    <row r="238" spans="1:8" s="3" customFormat="1">
      <c r="A238" s="41"/>
      <c r="B238" s="41"/>
      <c r="C238" s="41"/>
      <c r="D238" s="43"/>
      <c r="E238" s="41"/>
      <c r="F238" s="41"/>
      <c r="G238" s="41"/>
      <c r="H238" s="41"/>
    </row>
    <row r="239" spans="1:8" s="3" customFormat="1">
      <c r="A239" s="41"/>
      <c r="B239" s="41"/>
      <c r="C239" s="41"/>
      <c r="D239" s="43"/>
      <c r="E239" s="41"/>
      <c r="F239" s="41"/>
      <c r="G239" s="41"/>
      <c r="H239" s="41"/>
    </row>
    <row r="240" spans="1:8" s="3" customFormat="1">
      <c r="A240" s="41"/>
      <c r="B240" s="41"/>
      <c r="C240" s="41"/>
      <c r="D240" s="43"/>
      <c r="E240" s="41"/>
      <c r="F240" s="41"/>
      <c r="G240" s="41"/>
      <c r="H240" s="41"/>
    </row>
    <row r="241" spans="1:8" s="3" customFormat="1">
      <c r="A241" s="41"/>
      <c r="B241" s="41"/>
      <c r="C241" s="41"/>
      <c r="D241" s="43"/>
      <c r="E241" s="41"/>
      <c r="F241" s="41"/>
      <c r="G241" s="41"/>
      <c r="H241" s="41"/>
    </row>
    <row r="242" spans="1:8" s="3" customFormat="1">
      <c r="A242" s="41"/>
      <c r="B242" s="41"/>
      <c r="C242" s="41"/>
      <c r="D242" s="43"/>
      <c r="E242" s="41"/>
      <c r="F242" s="41"/>
      <c r="G242" s="41"/>
      <c r="H242" s="41"/>
    </row>
    <row r="243" spans="1:8" s="3" customFormat="1">
      <c r="A243" s="41"/>
      <c r="B243" s="41"/>
      <c r="C243" s="41"/>
      <c r="D243" s="43"/>
      <c r="E243" s="41"/>
      <c r="F243" s="41"/>
      <c r="G243" s="41"/>
      <c r="H243" s="41"/>
    </row>
    <row r="244" spans="1:8" s="3" customFormat="1">
      <c r="A244" s="41"/>
      <c r="B244" s="41"/>
      <c r="C244" s="41"/>
      <c r="D244" s="43"/>
      <c r="E244" s="41"/>
      <c r="F244" s="41"/>
      <c r="G244" s="41"/>
      <c r="H244" s="41"/>
    </row>
    <row r="245" spans="1:8" s="3" customFormat="1">
      <c r="A245" s="41"/>
      <c r="B245" s="41"/>
      <c r="C245" s="41"/>
      <c r="D245" s="43"/>
      <c r="E245" s="41"/>
      <c r="F245" s="41"/>
      <c r="G245" s="41"/>
      <c r="H245" s="41"/>
    </row>
    <row r="246" spans="1:8" s="3" customFormat="1">
      <c r="A246" s="41"/>
      <c r="B246" s="41"/>
      <c r="C246" s="41"/>
      <c r="D246" s="43"/>
      <c r="E246" s="41"/>
      <c r="F246" s="41"/>
      <c r="G246" s="41"/>
      <c r="H246" s="41"/>
    </row>
    <row r="247" spans="1:8" s="3" customFormat="1">
      <c r="A247" s="41"/>
      <c r="B247" s="41"/>
      <c r="C247" s="41"/>
      <c r="D247" s="43"/>
      <c r="E247" s="41"/>
      <c r="F247" s="41"/>
      <c r="G247" s="41"/>
      <c r="H247" s="41"/>
    </row>
    <row r="248" spans="1:8" s="3" customFormat="1">
      <c r="A248" s="41"/>
      <c r="B248" s="41"/>
      <c r="C248" s="41"/>
      <c r="D248" s="43"/>
      <c r="E248" s="41"/>
      <c r="F248" s="41"/>
      <c r="G248" s="41"/>
      <c r="H248" s="41"/>
    </row>
    <row r="249" spans="1:8" s="3" customFormat="1">
      <c r="A249" s="41"/>
      <c r="B249" s="41"/>
      <c r="C249" s="41"/>
      <c r="D249" s="43"/>
      <c r="E249" s="41"/>
      <c r="F249" s="41"/>
      <c r="G249" s="41"/>
      <c r="H249" s="41"/>
    </row>
    <row r="250" spans="1:8" s="3" customFormat="1">
      <c r="A250" s="41"/>
      <c r="B250" s="41"/>
      <c r="C250" s="41"/>
      <c r="D250" s="43"/>
      <c r="E250" s="41"/>
      <c r="F250" s="41"/>
      <c r="G250" s="41"/>
      <c r="H250" s="41"/>
    </row>
    <row r="251" spans="1:8" s="3" customFormat="1">
      <c r="A251" s="41"/>
      <c r="B251" s="41"/>
      <c r="C251" s="41"/>
      <c r="D251" s="43"/>
      <c r="E251" s="41"/>
      <c r="F251" s="41"/>
      <c r="G251" s="41"/>
      <c r="H251" s="41"/>
    </row>
    <row r="252" spans="1:8" s="3" customFormat="1">
      <c r="A252" s="41"/>
      <c r="B252" s="41"/>
      <c r="C252" s="41"/>
      <c r="D252" s="43"/>
      <c r="E252" s="41"/>
      <c r="F252" s="41"/>
      <c r="G252" s="41"/>
      <c r="H252" s="41"/>
    </row>
    <row r="253" spans="1:8" s="3" customFormat="1">
      <c r="A253" s="41"/>
      <c r="B253" s="41"/>
      <c r="C253" s="41"/>
      <c r="D253" s="43"/>
      <c r="E253" s="41"/>
      <c r="F253" s="41"/>
      <c r="G253" s="41"/>
      <c r="H253" s="41"/>
    </row>
    <row r="254" spans="1:8" s="3" customFormat="1">
      <c r="A254" s="41"/>
      <c r="B254" s="41"/>
      <c r="C254" s="41"/>
      <c r="D254" s="43"/>
      <c r="E254" s="41"/>
      <c r="F254" s="41"/>
      <c r="G254" s="41"/>
      <c r="H254" s="41"/>
    </row>
    <row r="255" spans="1:8" s="3" customFormat="1">
      <c r="A255" s="41"/>
      <c r="B255" s="41"/>
      <c r="C255" s="41"/>
      <c r="D255" s="43"/>
      <c r="E255" s="41"/>
      <c r="F255" s="41"/>
      <c r="G255" s="41"/>
      <c r="H255" s="41"/>
    </row>
    <row r="256" spans="1:8" s="3" customFormat="1">
      <c r="A256" s="41"/>
      <c r="B256" s="41"/>
      <c r="C256" s="41"/>
      <c r="D256" s="43"/>
      <c r="E256" s="41"/>
      <c r="F256" s="41"/>
      <c r="G256" s="41"/>
      <c r="H256" s="41"/>
    </row>
    <row r="257" spans="1:8" s="3" customFormat="1">
      <c r="A257" s="41"/>
      <c r="B257" s="41"/>
      <c r="C257" s="41"/>
      <c r="D257" s="43"/>
      <c r="E257" s="41"/>
      <c r="F257" s="41"/>
      <c r="G257" s="41"/>
      <c r="H257" s="41"/>
    </row>
    <row r="258" spans="1:8" s="3" customFormat="1">
      <c r="A258" s="41"/>
      <c r="B258" s="41"/>
      <c r="C258" s="41"/>
      <c r="D258" s="43"/>
      <c r="E258" s="41"/>
      <c r="F258" s="41"/>
      <c r="G258" s="41"/>
      <c r="H258" s="41"/>
    </row>
    <row r="259" spans="1:8" s="3" customFormat="1">
      <c r="A259" s="41"/>
      <c r="B259" s="41"/>
      <c r="C259" s="41"/>
      <c r="D259" s="43"/>
      <c r="E259" s="41"/>
      <c r="F259" s="41"/>
      <c r="G259" s="41"/>
      <c r="H259" s="41"/>
    </row>
    <row r="260" spans="1:8" s="3" customFormat="1">
      <c r="A260" s="41"/>
      <c r="B260" s="41"/>
      <c r="C260" s="41"/>
      <c r="D260" s="43"/>
      <c r="E260" s="41"/>
      <c r="F260" s="41"/>
      <c r="G260" s="41"/>
      <c r="H260" s="41"/>
    </row>
    <row r="261" spans="1:8" s="3" customFormat="1">
      <c r="A261" s="41"/>
      <c r="B261" s="41"/>
      <c r="C261" s="41"/>
      <c r="D261" s="43"/>
      <c r="E261" s="41"/>
      <c r="F261" s="41"/>
      <c r="G261" s="41"/>
      <c r="H261" s="41"/>
    </row>
    <row r="262" spans="1:8" s="3" customFormat="1">
      <c r="A262" s="41"/>
      <c r="B262" s="41"/>
      <c r="C262" s="41"/>
      <c r="D262" s="43"/>
      <c r="E262" s="41"/>
      <c r="F262" s="41"/>
      <c r="G262" s="41"/>
      <c r="H262" s="41"/>
    </row>
    <row r="263" spans="1:8" s="3" customFormat="1">
      <c r="A263" s="41"/>
      <c r="B263" s="41"/>
      <c r="C263" s="41"/>
      <c r="D263" s="43"/>
      <c r="E263" s="41"/>
      <c r="F263" s="41"/>
      <c r="G263" s="41"/>
      <c r="H263" s="41"/>
    </row>
    <row r="264" spans="1:8" s="3" customFormat="1">
      <c r="A264" s="41"/>
      <c r="B264" s="41"/>
      <c r="C264" s="41"/>
      <c r="D264" s="43"/>
      <c r="E264" s="41"/>
      <c r="F264" s="41"/>
      <c r="G264" s="41"/>
      <c r="H264" s="41"/>
    </row>
    <row r="265" spans="1:8" s="3" customFormat="1">
      <c r="A265" s="41"/>
      <c r="B265" s="41"/>
      <c r="C265" s="41"/>
      <c r="D265" s="43"/>
      <c r="E265" s="41"/>
      <c r="F265" s="41"/>
      <c r="G265" s="41"/>
      <c r="H265" s="41"/>
    </row>
    <row r="266" spans="1:8" s="3" customFormat="1">
      <c r="A266" s="41"/>
      <c r="B266" s="41"/>
      <c r="C266" s="41"/>
      <c r="D266" s="43"/>
      <c r="E266" s="41"/>
      <c r="F266" s="41"/>
      <c r="G266" s="41"/>
      <c r="H266" s="41"/>
    </row>
    <row r="267" spans="1:8" s="3" customFormat="1">
      <c r="A267" s="41"/>
      <c r="B267" s="41"/>
      <c r="C267" s="41"/>
      <c r="D267" s="43"/>
      <c r="E267" s="41"/>
      <c r="F267" s="41"/>
      <c r="G267" s="41"/>
      <c r="H267" s="41"/>
    </row>
    <row r="268" spans="1:8" s="3" customFormat="1">
      <c r="A268" s="41"/>
      <c r="B268" s="41"/>
      <c r="C268" s="41"/>
      <c r="D268" s="43"/>
      <c r="E268" s="41"/>
      <c r="F268" s="41"/>
      <c r="G268" s="41"/>
      <c r="H268" s="41"/>
    </row>
    <row r="269" spans="1:8" s="3" customFormat="1">
      <c r="A269" s="41"/>
      <c r="B269" s="41"/>
      <c r="C269" s="41"/>
      <c r="D269" s="43"/>
      <c r="E269" s="41"/>
      <c r="F269" s="41"/>
      <c r="G269" s="41"/>
      <c r="H269" s="41"/>
    </row>
    <row r="270" spans="1:8" s="3" customFormat="1">
      <c r="A270" s="41"/>
      <c r="B270" s="41"/>
      <c r="C270" s="41"/>
      <c r="D270" s="43"/>
      <c r="E270" s="41"/>
      <c r="F270" s="41"/>
      <c r="G270" s="41"/>
      <c r="H270" s="41"/>
    </row>
    <row r="271" spans="1:8" s="3" customFormat="1">
      <c r="A271" s="41"/>
      <c r="B271" s="41"/>
      <c r="C271" s="41"/>
      <c r="D271" s="43"/>
      <c r="E271" s="41"/>
      <c r="F271" s="41"/>
      <c r="G271" s="41"/>
      <c r="H271" s="41"/>
    </row>
    <row r="272" spans="1:8" s="3" customFormat="1">
      <c r="A272" s="41"/>
      <c r="B272" s="41"/>
      <c r="C272" s="41"/>
      <c r="D272" s="43"/>
      <c r="E272" s="41"/>
      <c r="F272" s="41"/>
      <c r="G272" s="41"/>
      <c r="H272" s="41"/>
    </row>
    <row r="273" spans="1:8" s="3" customFormat="1">
      <c r="A273" s="41"/>
      <c r="B273" s="41"/>
      <c r="C273" s="41"/>
      <c r="D273" s="43"/>
      <c r="E273" s="41"/>
      <c r="F273" s="41"/>
      <c r="G273" s="41"/>
      <c r="H273" s="41"/>
    </row>
    <row r="274" spans="1:8" s="3" customFormat="1">
      <c r="A274" s="41"/>
      <c r="B274" s="41"/>
      <c r="C274" s="41"/>
      <c r="D274" s="43"/>
      <c r="E274" s="41"/>
      <c r="F274" s="41"/>
      <c r="G274" s="41"/>
      <c r="H274" s="41"/>
    </row>
    <row r="275" spans="1:8" s="3" customFormat="1">
      <c r="A275" s="41"/>
      <c r="B275" s="41"/>
      <c r="C275" s="41"/>
      <c r="D275" s="43"/>
      <c r="E275" s="41"/>
      <c r="F275" s="41"/>
      <c r="G275" s="41"/>
      <c r="H275" s="41"/>
    </row>
    <row r="276" spans="1:8" s="3" customFormat="1">
      <c r="A276" s="41"/>
      <c r="B276" s="41"/>
      <c r="C276" s="41"/>
      <c r="D276" s="43"/>
      <c r="E276" s="41"/>
      <c r="F276" s="41"/>
      <c r="G276" s="41"/>
      <c r="H276" s="41"/>
    </row>
    <row r="277" spans="1:8" s="3" customFormat="1">
      <c r="A277" s="41"/>
      <c r="B277" s="41"/>
      <c r="C277" s="41"/>
      <c r="D277" s="43"/>
      <c r="E277" s="41"/>
      <c r="F277" s="41"/>
      <c r="G277" s="41"/>
      <c r="H277" s="41"/>
    </row>
    <row r="278" spans="1:8" s="3" customFormat="1">
      <c r="A278" s="41"/>
      <c r="B278" s="41"/>
      <c r="C278" s="41"/>
      <c r="D278" s="43"/>
      <c r="E278" s="41"/>
      <c r="F278" s="41"/>
      <c r="G278" s="41"/>
      <c r="H278" s="41"/>
    </row>
    <row r="279" spans="1:8" s="3" customFormat="1">
      <c r="A279" s="41"/>
      <c r="B279" s="41"/>
      <c r="C279" s="41"/>
      <c r="D279" s="43"/>
      <c r="E279" s="41"/>
      <c r="F279" s="41"/>
      <c r="G279" s="41"/>
      <c r="H279" s="41"/>
    </row>
    <row r="280" spans="1:8" s="3" customFormat="1">
      <c r="A280" s="41"/>
      <c r="B280" s="41"/>
      <c r="C280" s="41"/>
      <c r="D280" s="43"/>
      <c r="E280" s="41"/>
      <c r="F280" s="41"/>
      <c r="G280" s="41"/>
      <c r="H280" s="41"/>
    </row>
    <row r="281" spans="1:8" s="3" customFormat="1">
      <c r="A281" s="41"/>
      <c r="B281" s="41"/>
      <c r="C281" s="41"/>
      <c r="D281" s="43"/>
      <c r="E281" s="41"/>
      <c r="F281" s="41"/>
      <c r="G281" s="41"/>
      <c r="H281" s="41"/>
    </row>
    <row r="282" spans="1:8" s="3" customFormat="1">
      <c r="A282" s="41"/>
      <c r="B282" s="41"/>
      <c r="C282" s="41"/>
      <c r="D282" s="43"/>
      <c r="E282" s="41"/>
      <c r="F282" s="41"/>
      <c r="G282" s="41"/>
      <c r="H282" s="41"/>
    </row>
    <row r="283" spans="1:8" s="3" customFormat="1">
      <c r="A283" s="41"/>
      <c r="B283" s="41"/>
      <c r="C283" s="41"/>
      <c r="D283" s="43"/>
      <c r="E283" s="41"/>
      <c r="F283" s="41"/>
      <c r="G283" s="41"/>
      <c r="H283" s="41"/>
    </row>
    <row r="284" spans="1:8" s="3" customFormat="1">
      <c r="A284" s="41"/>
      <c r="B284" s="41"/>
      <c r="C284" s="41"/>
      <c r="D284" s="43"/>
      <c r="E284" s="41"/>
      <c r="F284" s="41"/>
      <c r="G284" s="41"/>
      <c r="H284" s="41"/>
    </row>
    <row r="285" spans="1:8" s="3" customFormat="1">
      <c r="A285" s="41"/>
      <c r="B285" s="41"/>
      <c r="C285" s="41"/>
      <c r="D285" s="43"/>
      <c r="E285" s="41"/>
      <c r="F285" s="41"/>
      <c r="G285" s="41"/>
      <c r="H285" s="41"/>
    </row>
    <row r="286" spans="1:8" s="3" customFormat="1">
      <c r="A286" s="41"/>
      <c r="B286" s="41"/>
      <c r="C286" s="41"/>
      <c r="D286" s="43"/>
      <c r="E286" s="41"/>
      <c r="F286" s="41"/>
      <c r="G286" s="41"/>
      <c r="H286" s="41"/>
    </row>
    <row r="287" spans="1:8" s="3" customFormat="1">
      <c r="A287" s="41"/>
      <c r="B287" s="41"/>
      <c r="C287" s="41"/>
      <c r="D287" s="43"/>
      <c r="E287" s="41"/>
      <c r="F287" s="41"/>
      <c r="G287" s="41"/>
      <c r="H287" s="41"/>
    </row>
    <row r="288" spans="1:8" s="3" customFormat="1">
      <c r="A288" s="41"/>
      <c r="B288" s="41"/>
      <c r="C288" s="41"/>
      <c r="D288" s="43"/>
      <c r="E288" s="41"/>
      <c r="F288" s="41"/>
      <c r="G288" s="41"/>
      <c r="H288" s="41"/>
    </row>
    <row r="289" spans="1:170" s="3" customFormat="1">
      <c r="A289" s="41"/>
      <c r="B289" s="41"/>
      <c r="C289" s="41"/>
      <c r="D289" s="43"/>
      <c r="E289" s="41"/>
      <c r="F289" s="41"/>
      <c r="G289" s="41"/>
      <c r="H289" s="41"/>
    </row>
    <row r="290" spans="1:170" s="3" customFormat="1">
      <c r="A290" s="41"/>
      <c r="B290" s="41"/>
      <c r="C290" s="41"/>
      <c r="D290" s="43"/>
      <c r="E290" s="41"/>
      <c r="F290" s="41"/>
      <c r="G290" s="41"/>
      <c r="H290" s="41"/>
    </row>
    <row r="291" spans="1:170" s="3" customFormat="1">
      <c r="A291" s="41"/>
      <c r="B291" s="41"/>
      <c r="C291" s="41"/>
      <c r="D291" s="43"/>
      <c r="E291" s="41"/>
      <c r="F291" s="41"/>
      <c r="G291" s="41"/>
      <c r="H291" s="41"/>
    </row>
    <row r="292" spans="1:170" s="3" customFormat="1">
      <c r="A292" s="41"/>
      <c r="B292" s="41"/>
      <c r="C292" s="41"/>
      <c r="D292" s="43"/>
      <c r="E292" s="41"/>
      <c r="F292" s="41"/>
      <c r="G292" s="41"/>
      <c r="H292" s="41"/>
    </row>
    <row r="293" spans="1:170" s="3" customFormat="1">
      <c r="A293" s="41"/>
      <c r="B293" s="41"/>
      <c r="C293" s="43"/>
      <c r="D293" s="41"/>
      <c r="E293" s="41"/>
      <c r="F293" s="41"/>
      <c r="G293" s="41"/>
      <c r="H293" s="41"/>
    </row>
    <row r="294" spans="1:170" s="3" customFormat="1">
      <c r="A294" s="41"/>
      <c r="B294" s="41"/>
      <c r="C294" s="43"/>
      <c r="D294" s="41"/>
      <c r="E294" s="41"/>
      <c r="F294" s="41"/>
      <c r="G294" s="41"/>
      <c r="H294" s="41"/>
    </row>
    <row r="295" spans="1:170" s="3" customFormat="1">
      <c r="A295" s="41"/>
      <c r="B295" s="41"/>
      <c r="C295" s="43"/>
      <c r="D295" s="41"/>
      <c r="E295" s="41"/>
      <c r="F295" s="41"/>
      <c r="G295" s="41"/>
      <c r="H295" s="41"/>
    </row>
    <row r="296" spans="1:170" s="3" customFormat="1">
      <c r="A296" s="41"/>
      <c r="B296" s="41"/>
      <c r="C296" s="43"/>
      <c r="D296" s="41"/>
      <c r="E296" s="41"/>
      <c r="F296" s="41"/>
      <c r="G296" s="41"/>
      <c r="H296" s="41"/>
    </row>
    <row r="297" spans="1:170" s="40" customFormat="1">
      <c r="A297" s="19"/>
      <c r="B297" s="19"/>
      <c r="C297" s="19"/>
      <c r="D297" s="19"/>
      <c r="E297" s="19"/>
      <c r="F297" s="19"/>
      <c r="G297" s="19"/>
      <c r="H297" s="1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</row>
  </sheetData>
  <sheetProtection sheet="1" objects="1" scenarios="1"/>
  <mergeCells count="7">
    <mergeCell ref="F47:G47"/>
    <mergeCell ref="C49:D49"/>
    <mergeCell ref="A1:H1"/>
    <mergeCell ref="A2:H2"/>
    <mergeCell ref="F3:G3"/>
    <mergeCell ref="A45:H45"/>
    <mergeCell ref="A46:H46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showGridLines="0" workbookViewId="0">
      <pane ySplit="2" topLeftCell="A3" activePane="bottomLeft" state="frozen"/>
      <selection pane="bottomLeft" sqref="A1:B38"/>
    </sheetView>
  </sheetViews>
  <sheetFormatPr defaultColWidth="32.6640625" defaultRowHeight="15.6"/>
  <cols>
    <col min="1" max="1" width="13.33203125" style="2" bestFit="1" customWidth="1"/>
    <col min="2" max="2" width="48.21875" style="2" customWidth="1"/>
    <col min="3" max="5" width="32.6640625" style="2"/>
    <col min="6" max="7" width="32.6640625" style="2" customWidth="1"/>
    <col min="8" max="16384" width="32.6640625" style="2"/>
  </cols>
  <sheetData>
    <row r="1" spans="1:2" s="50" customFormat="1">
      <c r="A1" s="63" t="s">
        <v>421</v>
      </c>
      <c r="B1" s="63"/>
    </row>
    <row r="2" spans="1:2" s="50" customFormat="1">
      <c r="A2" s="64" t="s">
        <v>39</v>
      </c>
      <c r="B2" s="65" t="s">
        <v>40</v>
      </c>
    </row>
    <row r="3" spans="1:2">
      <c r="A3" s="66" t="s">
        <v>41</v>
      </c>
      <c r="B3" s="1" t="s">
        <v>42</v>
      </c>
    </row>
    <row r="4" spans="1:2">
      <c r="A4" s="66" t="s">
        <v>43</v>
      </c>
      <c r="B4" s="1" t="s">
        <v>44</v>
      </c>
    </row>
    <row r="5" spans="1:2">
      <c r="A5" s="66" t="s">
        <v>45</v>
      </c>
      <c r="B5" s="1" t="s">
        <v>46</v>
      </c>
    </row>
    <row r="6" spans="1:2">
      <c r="A6" s="66" t="s">
        <v>47</v>
      </c>
      <c r="B6" s="1" t="s">
        <v>48</v>
      </c>
    </row>
    <row r="7" spans="1:2">
      <c r="A7" s="66" t="s">
        <v>49</v>
      </c>
      <c r="B7" s="1" t="s">
        <v>123</v>
      </c>
    </row>
    <row r="8" spans="1:2">
      <c r="A8" s="66" t="s">
        <v>50</v>
      </c>
      <c r="B8" s="1" t="s">
        <v>51</v>
      </c>
    </row>
    <row r="9" spans="1:2">
      <c r="A9" s="66" t="s">
        <v>52</v>
      </c>
      <c r="B9" s="1" t="s">
        <v>53</v>
      </c>
    </row>
    <row r="10" spans="1:2">
      <c r="A10" s="66" t="s">
        <v>54</v>
      </c>
      <c r="B10" s="1" t="s">
        <v>55</v>
      </c>
    </row>
    <row r="11" spans="1:2">
      <c r="A11" s="66" t="s">
        <v>56</v>
      </c>
      <c r="B11" s="1" t="s">
        <v>57</v>
      </c>
    </row>
    <row r="12" spans="1:2">
      <c r="A12" s="66" t="s">
        <v>58</v>
      </c>
      <c r="B12" s="1" t="s">
        <v>59</v>
      </c>
    </row>
    <row r="13" spans="1:2">
      <c r="A13" s="66" t="s">
        <v>60</v>
      </c>
      <c r="B13" s="1" t="s">
        <v>61</v>
      </c>
    </row>
    <row r="14" spans="1:2">
      <c r="A14" s="66" t="s">
        <v>62</v>
      </c>
      <c r="B14" s="1" t="s">
        <v>63</v>
      </c>
    </row>
    <row r="15" spans="1:2">
      <c r="A15" s="66" t="s">
        <v>64</v>
      </c>
      <c r="B15" s="1" t="s">
        <v>65</v>
      </c>
    </row>
    <row r="16" spans="1:2">
      <c r="A16" s="66" t="s">
        <v>66</v>
      </c>
      <c r="B16" s="1" t="s">
        <v>67</v>
      </c>
    </row>
    <row r="17" spans="1:2">
      <c r="A17" s="66" t="s">
        <v>68</v>
      </c>
      <c r="B17" s="1" t="s">
        <v>69</v>
      </c>
    </row>
    <row r="18" spans="1:2">
      <c r="A18" s="66" t="s">
        <v>70</v>
      </c>
      <c r="B18" s="1" t="s">
        <v>71</v>
      </c>
    </row>
    <row r="19" spans="1:2">
      <c r="A19" s="66" t="s">
        <v>72</v>
      </c>
      <c r="B19" s="1" t="s">
        <v>73</v>
      </c>
    </row>
    <row r="20" spans="1:2">
      <c r="A20" s="66" t="s">
        <v>74</v>
      </c>
      <c r="B20" s="1" t="s">
        <v>75</v>
      </c>
    </row>
    <row r="21" spans="1:2">
      <c r="A21" s="66" t="s">
        <v>76</v>
      </c>
      <c r="B21" s="1" t="s">
        <v>77</v>
      </c>
    </row>
    <row r="22" spans="1:2">
      <c r="A22" s="66" t="s">
        <v>78</v>
      </c>
      <c r="B22" s="1" t="s">
        <v>79</v>
      </c>
    </row>
    <row r="23" spans="1:2">
      <c r="A23" s="66" t="s">
        <v>80</v>
      </c>
      <c r="B23" s="1" t="s">
        <v>81</v>
      </c>
    </row>
    <row r="24" spans="1:2">
      <c r="A24" s="66" t="s">
        <v>82</v>
      </c>
      <c r="B24" s="1" t="s">
        <v>83</v>
      </c>
    </row>
    <row r="25" spans="1:2">
      <c r="A25" s="66" t="s">
        <v>84</v>
      </c>
      <c r="B25" s="1" t="s">
        <v>85</v>
      </c>
    </row>
    <row r="26" spans="1:2">
      <c r="A26" s="66" t="s">
        <v>86</v>
      </c>
      <c r="B26" s="1" t="s">
        <v>87</v>
      </c>
    </row>
    <row r="27" spans="1:2">
      <c r="A27" s="66" t="s">
        <v>88</v>
      </c>
      <c r="B27" s="1" t="s">
        <v>124</v>
      </c>
    </row>
    <row r="28" spans="1:2">
      <c r="A28" s="66" t="s">
        <v>89</v>
      </c>
      <c r="B28" s="1" t="s">
        <v>90</v>
      </c>
    </row>
    <row r="29" spans="1:2">
      <c r="A29" s="66" t="s">
        <v>91</v>
      </c>
      <c r="B29" s="1" t="s">
        <v>92</v>
      </c>
    </row>
    <row r="30" spans="1:2">
      <c r="A30" s="66" t="s">
        <v>93</v>
      </c>
      <c r="B30" s="1" t="s">
        <v>94</v>
      </c>
    </row>
    <row r="31" spans="1:2">
      <c r="A31" s="66" t="s">
        <v>95</v>
      </c>
      <c r="B31" s="1" t="s">
        <v>96</v>
      </c>
    </row>
    <row r="32" spans="1:2">
      <c r="A32" s="66" t="s">
        <v>97</v>
      </c>
      <c r="B32" s="1" t="s">
        <v>98</v>
      </c>
    </row>
    <row r="33" spans="1:2">
      <c r="A33" s="66" t="s">
        <v>99</v>
      </c>
      <c r="B33" s="1" t="s">
        <v>100</v>
      </c>
    </row>
    <row r="34" spans="1:2">
      <c r="A34" s="66" t="s">
        <v>101</v>
      </c>
      <c r="B34" s="1" t="s">
        <v>125</v>
      </c>
    </row>
    <row r="35" spans="1:2">
      <c r="A35" s="66" t="s">
        <v>102</v>
      </c>
      <c r="B35" s="1" t="s">
        <v>126</v>
      </c>
    </row>
    <row r="36" spans="1:2">
      <c r="A36" s="66" t="s">
        <v>103</v>
      </c>
      <c r="B36" s="1" t="s">
        <v>127</v>
      </c>
    </row>
    <row r="37" spans="1:2">
      <c r="A37" s="66" t="s">
        <v>104</v>
      </c>
      <c r="B37" s="1" t="s">
        <v>105</v>
      </c>
    </row>
    <row r="38" spans="1:2">
      <c r="A38" s="66" t="s">
        <v>128</v>
      </c>
      <c r="B38" s="1" t="s">
        <v>129</v>
      </c>
    </row>
  </sheetData>
  <mergeCells count="1">
    <mergeCell ref="A1:B1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showGridLines="0" workbookViewId="0">
      <selection activeCell="B1" sqref="B1"/>
    </sheetView>
  </sheetViews>
  <sheetFormatPr defaultRowHeight="14.4"/>
  <cols>
    <col min="1" max="1" width="4.6640625" bestFit="1" customWidth="1"/>
    <col min="2" max="2" width="86.109375" bestFit="1" customWidth="1"/>
    <col min="3" max="3" width="12" bestFit="1" customWidth="1"/>
    <col min="4" max="4" width="7.109375" bestFit="1" customWidth="1"/>
    <col min="5" max="5" width="8.33203125" bestFit="1" customWidth="1"/>
    <col min="6" max="6" width="12" style="49" bestFit="1" customWidth="1"/>
  </cols>
  <sheetData>
    <row r="1" spans="1:6" ht="15.6">
      <c r="A1" s="3"/>
      <c r="B1" s="3" t="s">
        <v>419</v>
      </c>
      <c r="C1" s="3"/>
      <c r="D1" s="3"/>
      <c r="E1" s="3"/>
      <c r="F1" s="67"/>
    </row>
    <row r="2" spans="1:6" s="48" customFormat="1" ht="31.2">
      <c r="A2" s="10" t="s">
        <v>0</v>
      </c>
      <c r="B2" s="11" t="s">
        <v>1</v>
      </c>
      <c r="C2" s="52" t="s">
        <v>2</v>
      </c>
      <c r="D2" s="52" t="s">
        <v>113</v>
      </c>
      <c r="E2" s="52" t="s">
        <v>3</v>
      </c>
      <c r="F2" s="68" t="s">
        <v>423</v>
      </c>
    </row>
    <row r="3" spans="1:6" ht="15.6">
      <c r="A3" s="13">
        <v>1</v>
      </c>
      <c r="B3" s="14" t="s">
        <v>120</v>
      </c>
      <c r="C3" s="15"/>
      <c r="D3" s="15"/>
      <c r="E3" s="15">
        <v>2</v>
      </c>
      <c r="F3" s="69" t="s">
        <v>265</v>
      </c>
    </row>
    <row r="4" spans="1:6" ht="15.6">
      <c r="A4" s="8">
        <v>2</v>
      </c>
      <c r="B4" s="4" t="s">
        <v>38</v>
      </c>
      <c r="C4" s="29"/>
      <c r="D4" s="30"/>
      <c r="E4" s="8">
        <v>5</v>
      </c>
      <c r="F4" s="69" t="s">
        <v>266</v>
      </c>
    </row>
    <row r="5" spans="1:6" ht="15.6">
      <c r="A5" s="8">
        <v>3</v>
      </c>
      <c r="B5" s="4" t="s">
        <v>23</v>
      </c>
      <c r="C5" s="31">
        <v>1</v>
      </c>
      <c r="D5" s="31">
        <v>2</v>
      </c>
      <c r="E5" s="8">
        <v>3</v>
      </c>
      <c r="F5" s="69" t="s">
        <v>267</v>
      </c>
    </row>
    <row r="6" spans="1:6" ht="15.6">
      <c r="A6" s="13">
        <v>4</v>
      </c>
      <c r="B6" s="4" t="s">
        <v>5</v>
      </c>
      <c r="C6" s="31"/>
      <c r="D6" s="31"/>
      <c r="E6" s="8">
        <v>2</v>
      </c>
      <c r="F6" s="69" t="s">
        <v>268</v>
      </c>
    </row>
    <row r="7" spans="1:6" ht="15.6">
      <c r="A7" s="8">
        <v>5</v>
      </c>
      <c r="B7" s="4" t="s">
        <v>6</v>
      </c>
      <c r="C7" s="31"/>
      <c r="D7" s="31"/>
      <c r="E7" s="8">
        <v>2</v>
      </c>
      <c r="F7" s="69" t="s">
        <v>269</v>
      </c>
    </row>
    <row r="8" spans="1:6" ht="15.6">
      <c r="A8" s="8">
        <v>6</v>
      </c>
      <c r="B8" s="4" t="s">
        <v>7</v>
      </c>
      <c r="C8" s="31">
        <v>1</v>
      </c>
      <c r="D8" s="31">
        <v>3</v>
      </c>
      <c r="E8" s="8">
        <v>1</v>
      </c>
      <c r="F8" s="69" t="s">
        <v>270</v>
      </c>
    </row>
    <row r="9" spans="1:6" ht="15.6">
      <c r="A9" s="13">
        <v>7</v>
      </c>
      <c r="B9" s="4" t="s">
        <v>11</v>
      </c>
      <c r="C9" s="31">
        <v>0</v>
      </c>
      <c r="D9" s="31">
        <v>1</v>
      </c>
      <c r="E9" s="8">
        <v>2</v>
      </c>
      <c r="F9" s="69" t="s">
        <v>271</v>
      </c>
    </row>
    <row r="10" spans="1:6" ht="15.6">
      <c r="A10" s="8">
        <v>8</v>
      </c>
      <c r="B10" s="32" t="s">
        <v>114</v>
      </c>
      <c r="C10" s="33">
        <v>1</v>
      </c>
      <c r="D10" s="33">
        <v>4</v>
      </c>
      <c r="E10" s="34">
        <v>2</v>
      </c>
      <c r="F10" s="69" t="s">
        <v>272</v>
      </c>
    </row>
    <row r="11" spans="1:6" ht="15.6">
      <c r="A11" s="8">
        <v>9</v>
      </c>
      <c r="B11" s="32" t="s">
        <v>31</v>
      </c>
      <c r="C11" s="33">
        <v>1</v>
      </c>
      <c r="D11" s="33">
        <v>4</v>
      </c>
      <c r="E11" s="34">
        <v>3</v>
      </c>
      <c r="F11" s="69" t="s">
        <v>273</v>
      </c>
    </row>
    <row r="12" spans="1:6" ht="15.6">
      <c r="A12" s="13">
        <v>10</v>
      </c>
      <c r="B12" s="4" t="s">
        <v>12</v>
      </c>
      <c r="C12" s="31">
        <v>1</v>
      </c>
      <c r="D12" s="31">
        <v>5</v>
      </c>
      <c r="E12" s="8">
        <v>2</v>
      </c>
      <c r="F12" s="69" t="s">
        <v>274</v>
      </c>
    </row>
    <row r="13" spans="1:6" ht="15.6">
      <c r="A13" s="8">
        <v>11</v>
      </c>
      <c r="B13" s="4" t="s">
        <v>13</v>
      </c>
      <c r="C13" s="31">
        <v>1</v>
      </c>
      <c r="D13" s="31">
        <v>6</v>
      </c>
      <c r="E13" s="8">
        <v>2</v>
      </c>
      <c r="F13" s="69" t="s">
        <v>275</v>
      </c>
    </row>
    <row r="14" spans="1:6" ht="15.6">
      <c r="A14" s="8">
        <v>12</v>
      </c>
      <c r="B14" s="4" t="s">
        <v>14</v>
      </c>
      <c r="C14" s="31">
        <v>1</v>
      </c>
      <c r="D14" s="31">
        <v>11</v>
      </c>
      <c r="E14" s="8">
        <v>1</v>
      </c>
      <c r="F14" s="69" t="s">
        <v>276</v>
      </c>
    </row>
    <row r="15" spans="1:6" ht="15.6">
      <c r="A15" s="13">
        <v>13</v>
      </c>
      <c r="B15" s="4" t="s">
        <v>15</v>
      </c>
      <c r="C15" s="29">
        <v>1</v>
      </c>
      <c r="D15" s="29">
        <v>12</v>
      </c>
      <c r="E15" s="8">
        <v>4</v>
      </c>
      <c r="F15" s="69" t="s">
        <v>277</v>
      </c>
    </row>
    <row r="16" spans="1:6" ht="15.6">
      <c r="A16" s="8">
        <v>14</v>
      </c>
      <c r="B16" s="4" t="s">
        <v>106</v>
      </c>
      <c r="C16" s="31">
        <v>1</v>
      </c>
      <c r="D16" s="31">
        <v>1</v>
      </c>
      <c r="E16" s="8">
        <v>5</v>
      </c>
      <c r="F16" s="69" t="s">
        <v>278</v>
      </c>
    </row>
    <row r="17" spans="1:6" ht="15.6">
      <c r="A17" s="8">
        <v>15</v>
      </c>
      <c r="B17" s="4" t="s">
        <v>8</v>
      </c>
      <c r="C17" s="31">
        <v>1</v>
      </c>
      <c r="D17" s="31">
        <v>13</v>
      </c>
      <c r="E17" s="8">
        <v>1</v>
      </c>
      <c r="F17" s="69" t="s">
        <v>279</v>
      </c>
    </row>
    <row r="18" spans="1:6" ht="15.6">
      <c r="A18" s="13">
        <v>16</v>
      </c>
      <c r="B18" s="4" t="s">
        <v>9</v>
      </c>
      <c r="C18" s="31">
        <v>1</v>
      </c>
      <c r="D18" s="31">
        <v>14</v>
      </c>
      <c r="E18" s="8">
        <v>1</v>
      </c>
      <c r="F18" s="69" t="s">
        <v>280</v>
      </c>
    </row>
    <row r="19" spans="1:6" ht="15.6">
      <c r="A19" s="8">
        <v>17</v>
      </c>
      <c r="B19" s="4" t="s">
        <v>10</v>
      </c>
      <c r="C19" s="31">
        <v>1</v>
      </c>
      <c r="D19" s="31">
        <v>15</v>
      </c>
      <c r="E19" s="8">
        <v>2</v>
      </c>
      <c r="F19" s="69" t="s">
        <v>281</v>
      </c>
    </row>
    <row r="20" spans="1:6" ht="15.6">
      <c r="A20" s="8">
        <v>18</v>
      </c>
      <c r="B20" s="4" t="s">
        <v>24</v>
      </c>
      <c r="C20" s="31">
        <v>1</v>
      </c>
      <c r="D20" s="31">
        <v>9</v>
      </c>
      <c r="E20" s="8">
        <v>2</v>
      </c>
      <c r="F20" s="69" t="s">
        <v>282</v>
      </c>
    </row>
    <row r="21" spans="1:6" ht="15.6">
      <c r="A21" s="13">
        <v>19</v>
      </c>
      <c r="B21" s="4" t="s">
        <v>25</v>
      </c>
      <c r="C21" s="31">
        <v>1</v>
      </c>
      <c r="D21" s="31">
        <v>17</v>
      </c>
      <c r="E21" s="8">
        <v>1</v>
      </c>
      <c r="F21" s="69" t="s">
        <v>283</v>
      </c>
    </row>
    <row r="22" spans="1:6" ht="15.6">
      <c r="A22" s="8">
        <v>20</v>
      </c>
      <c r="B22" s="4" t="s">
        <v>16</v>
      </c>
      <c r="C22" s="31">
        <v>1</v>
      </c>
      <c r="D22" s="31">
        <v>18</v>
      </c>
      <c r="E22" s="8">
        <v>1</v>
      </c>
      <c r="F22" s="69" t="s">
        <v>284</v>
      </c>
    </row>
    <row r="23" spans="1:6" ht="15.6">
      <c r="A23" s="8">
        <v>21</v>
      </c>
      <c r="B23" s="4" t="s">
        <v>27</v>
      </c>
      <c r="C23" s="31">
        <v>1</v>
      </c>
      <c r="D23" s="31">
        <v>19</v>
      </c>
      <c r="E23" s="8">
        <v>1</v>
      </c>
      <c r="F23" s="69" t="s">
        <v>285</v>
      </c>
    </row>
    <row r="24" spans="1:6" ht="15.6">
      <c r="A24" s="13">
        <v>22</v>
      </c>
      <c r="B24" s="4" t="s">
        <v>18</v>
      </c>
      <c r="C24" s="31">
        <v>3</v>
      </c>
      <c r="D24" s="31">
        <v>1</v>
      </c>
      <c r="E24" s="8">
        <v>2</v>
      </c>
      <c r="F24" s="69" t="s">
        <v>286</v>
      </c>
    </row>
    <row r="25" spans="1:6" ht="15.6">
      <c r="A25" s="8">
        <v>23</v>
      </c>
      <c r="B25" s="4" t="s">
        <v>19</v>
      </c>
      <c r="C25" s="31">
        <v>3</v>
      </c>
      <c r="D25" s="31">
        <v>2</v>
      </c>
      <c r="E25" s="8">
        <v>1</v>
      </c>
      <c r="F25" s="69" t="s">
        <v>287</v>
      </c>
    </row>
    <row r="26" spans="1:6" ht="15.6">
      <c r="A26" s="8">
        <v>24</v>
      </c>
      <c r="B26" s="4" t="s">
        <v>20</v>
      </c>
      <c r="C26" s="31">
        <v>3</v>
      </c>
      <c r="D26" s="31">
        <v>3</v>
      </c>
      <c r="E26" s="8">
        <v>1</v>
      </c>
      <c r="F26" s="69" t="s">
        <v>288</v>
      </c>
    </row>
    <row r="27" spans="1:6" ht="15.6">
      <c r="A27" s="13">
        <v>25</v>
      </c>
      <c r="B27" s="4" t="s">
        <v>21</v>
      </c>
      <c r="C27" s="31">
        <v>3</v>
      </c>
      <c r="D27" s="31">
        <v>4</v>
      </c>
      <c r="E27" s="8">
        <v>1</v>
      </c>
      <c r="F27" s="69" t="s">
        <v>289</v>
      </c>
    </row>
    <row r="28" spans="1:6" ht="31.2">
      <c r="A28" s="8">
        <v>26</v>
      </c>
      <c r="B28" s="30" t="s">
        <v>115</v>
      </c>
      <c r="C28" s="31">
        <v>3</v>
      </c>
      <c r="D28" s="31">
        <v>5.0999999999999996</v>
      </c>
      <c r="E28" s="29">
        <v>8</v>
      </c>
      <c r="F28" s="69" t="s">
        <v>290</v>
      </c>
    </row>
    <row r="29" spans="1:6" ht="15.6">
      <c r="A29" s="8">
        <v>27</v>
      </c>
      <c r="B29" s="30" t="s">
        <v>116</v>
      </c>
      <c r="C29" s="31">
        <v>3</v>
      </c>
      <c r="D29" s="31">
        <v>5.2</v>
      </c>
      <c r="E29" s="29">
        <v>8</v>
      </c>
      <c r="F29" s="69" t="s">
        <v>291</v>
      </c>
    </row>
    <row r="30" spans="1:6" ht="31.2">
      <c r="A30" s="13">
        <v>28</v>
      </c>
      <c r="B30" s="30" t="s">
        <v>117</v>
      </c>
      <c r="C30" s="31">
        <v>3</v>
      </c>
      <c r="D30" s="31">
        <v>5.3</v>
      </c>
      <c r="E30" s="29">
        <v>8</v>
      </c>
      <c r="F30" s="69" t="s">
        <v>292</v>
      </c>
    </row>
    <row r="31" spans="1:6" ht="15.6">
      <c r="A31" s="8">
        <v>29</v>
      </c>
      <c r="B31" s="30" t="s">
        <v>118</v>
      </c>
      <c r="C31" s="31">
        <v>3</v>
      </c>
      <c r="D31" s="31">
        <v>5.4</v>
      </c>
      <c r="E31" s="29">
        <v>8</v>
      </c>
      <c r="F31" s="69" t="s">
        <v>293</v>
      </c>
    </row>
    <row r="32" spans="1:6" ht="15.6">
      <c r="A32" s="8">
        <v>30</v>
      </c>
      <c r="B32" s="30" t="s">
        <v>119</v>
      </c>
      <c r="C32" s="31">
        <v>3</v>
      </c>
      <c r="D32" s="31">
        <v>5.5</v>
      </c>
      <c r="E32" s="29">
        <v>8</v>
      </c>
      <c r="F32" s="69" t="s">
        <v>294</v>
      </c>
    </row>
    <row r="33" spans="1:6" ht="15.6">
      <c r="A33" s="13">
        <v>31</v>
      </c>
      <c r="B33" s="36" t="s">
        <v>22</v>
      </c>
      <c r="C33" s="33">
        <v>3</v>
      </c>
      <c r="D33" s="33">
        <v>5.6</v>
      </c>
      <c r="E33" s="35">
        <v>8</v>
      </c>
      <c r="F33" s="69" t="s">
        <v>295</v>
      </c>
    </row>
    <row r="34" spans="1:6" ht="15.6">
      <c r="A34" s="8">
        <v>32</v>
      </c>
      <c r="B34" s="32" t="s">
        <v>26</v>
      </c>
      <c r="C34" s="33">
        <v>1</v>
      </c>
      <c r="D34" s="33">
        <v>16</v>
      </c>
      <c r="E34" s="34">
        <v>2</v>
      </c>
      <c r="F34" s="69" t="s">
        <v>296</v>
      </c>
    </row>
    <row r="35" spans="1:6" ht="15.6">
      <c r="A35" s="8">
        <v>33</v>
      </c>
      <c r="B35" s="32" t="s">
        <v>28</v>
      </c>
      <c r="C35" s="33">
        <v>2</v>
      </c>
      <c r="D35" s="33" t="s">
        <v>29</v>
      </c>
      <c r="E35" s="34">
        <v>8</v>
      </c>
      <c r="F35" s="69" t="s">
        <v>297</v>
      </c>
    </row>
    <row r="36" spans="1:6" ht="15.6">
      <c r="A36" s="13">
        <v>34</v>
      </c>
      <c r="B36" s="32" t="s">
        <v>17</v>
      </c>
      <c r="C36" s="33">
        <v>2</v>
      </c>
      <c r="D36" s="33">
        <v>4</v>
      </c>
      <c r="E36" s="34">
        <v>4</v>
      </c>
      <c r="F36" s="69" t="s">
        <v>298</v>
      </c>
    </row>
    <row r="37" spans="1:6" ht="15.6">
      <c r="A37" s="8">
        <v>35</v>
      </c>
      <c r="B37" s="32" t="s">
        <v>110</v>
      </c>
      <c r="C37" s="33" t="s">
        <v>30</v>
      </c>
      <c r="D37" s="33"/>
      <c r="E37" s="34">
        <v>3</v>
      </c>
      <c r="F37" s="69" t="s">
        <v>108</v>
      </c>
    </row>
    <row r="38" spans="1:6" ht="15.6">
      <c r="A38" s="8">
        <v>36</v>
      </c>
      <c r="B38" s="32" t="s">
        <v>109</v>
      </c>
      <c r="C38" s="33" t="s">
        <v>30</v>
      </c>
      <c r="D38" s="33"/>
      <c r="E38" s="34">
        <v>3</v>
      </c>
      <c r="F38" s="69" t="s">
        <v>107</v>
      </c>
    </row>
    <row r="39" spans="1:6" ht="15.6">
      <c r="A39" s="13">
        <v>37</v>
      </c>
      <c r="B39" s="32" t="s">
        <v>111</v>
      </c>
      <c r="C39" s="33" t="s">
        <v>30</v>
      </c>
      <c r="D39" s="33"/>
      <c r="E39" s="34">
        <v>10</v>
      </c>
      <c r="F39" s="69" t="s">
        <v>112</v>
      </c>
    </row>
    <row r="40" spans="1:6" ht="33" customHeight="1">
      <c r="A40" s="8">
        <v>38</v>
      </c>
      <c r="B40" s="32" t="s">
        <v>264</v>
      </c>
      <c r="C40" s="33" t="s">
        <v>30</v>
      </c>
      <c r="D40" s="35"/>
      <c r="E40" s="34">
        <v>1</v>
      </c>
      <c r="F40" s="69" t="s">
        <v>299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showGridLines="0" topLeftCell="A117" workbookViewId="0">
      <selection sqref="A1:E142"/>
    </sheetView>
  </sheetViews>
  <sheetFormatPr defaultColWidth="10.109375" defaultRowHeight="14.4"/>
  <cols>
    <col min="1" max="1" width="77.33203125" style="51" bestFit="1" customWidth="1"/>
    <col min="2" max="2" width="12" bestFit="1" customWidth="1"/>
    <col min="3" max="3" width="7.109375" bestFit="1" customWidth="1"/>
    <col min="4" max="4" width="8.33203125" bestFit="1" customWidth="1"/>
    <col min="5" max="5" width="13.33203125" bestFit="1" customWidth="1"/>
  </cols>
  <sheetData>
    <row r="1" spans="1:5" ht="15.6">
      <c r="A1" s="75" t="s">
        <v>420</v>
      </c>
      <c r="B1" s="70"/>
      <c r="C1" s="70"/>
      <c r="D1" s="70"/>
      <c r="E1" s="70"/>
    </row>
    <row r="2" spans="1:5" ht="31.2">
      <c r="A2" s="71" t="s">
        <v>1</v>
      </c>
      <c r="B2" s="65" t="s">
        <v>2</v>
      </c>
      <c r="C2" s="71" t="s">
        <v>113</v>
      </c>
      <c r="D2" s="71" t="s">
        <v>3</v>
      </c>
      <c r="E2" s="71" t="s">
        <v>423</v>
      </c>
    </row>
    <row r="3" spans="1:5" ht="15.6">
      <c r="A3" s="32" t="s">
        <v>120</v>
      </c>
      <c r="B3" s="36"/>
      <c r="C3" s="36"/>
      <c r="D3" s="36">
        <v>2</v>
      </c>
      <c r="E3" s="72" t="s">
        <v>265</v>
      </c>
    </row>
    <row r="4" spans="1:5" ht="15.6">
      <c r="A4" s="32" t="s">
        <v>38</v>
      </c>
      <c r="B4" s="73"/>
      <c r="C4" s="74"/>
      <c r="D4" s="34">
        <v>5</v>
      </c>
      <c r="E4" s="72" t="s">
        <v>266</v>
      </c>
    </row>
    <row r="5" spans="1:5" ht="15.6">
      <c r="A5" s="32" t="s">
        <v>23</v>
      </c>
      <c r="B5" s="38">
        <v>1</v>
      </c>
      <c r="C5" s="38">
        <v>2</v>
      </c>
      <c r="D5" s="34">
        <v>3</v>
      </c>
      <c r="E5" s="72" t="s">
        <v>267</v>
      </c>
    </row>
    <row r="6" spans="1:5" ht="15.6">
      <c r="A6" s="32" t="s">
        <v>5</v>
      </c>
      <c r="B6" s="38"/>
      <c r="C6" s="38"/>
      <c r="D6" s="34">
        <v>2</v>
      </c>
      <c r="E6" s="72" t="s">
        <v>268</v>
      </c>
    </row>
    <row r="7" spans="1:5" ht="15.6">
      <c r="A7" s="32" t="s">
        <v>6</v>
      </c>
      <c r="B7" s="38"/>
      <c r="C7" s="38"/>
      <c r="D7" s="34">
        <v>2</v>
      </c>
      <c r="E7" s="72" t="s">
        <v>269</v>
      </c>
    </row>
    <row r="8" spans="1:5" ht="15.6">
      <c r="A8" s="32" t="s">
        <v>7</v>
      </c>
      <c r="B8" s="38">
        <v>1</v>
      </c>
      <c r="C8" s="38">
        <v>3</v>
      </c>
      <c r="D8" s="34">
        <v>1</v>
      </c>
      <c r="E8" s="72" t="s">
        <v>270</v>
      </c>
    </row>
    <row r="9" spans="1:5" ht="15.6">
      <c r="A9" s="32" t="s">
        <v>11</v>
      </c>
      <c r="B9" s="34"/>
      <c r="C9" s="34"/>
      <c r="D9" s="34">
        <v>2</v>
      </c>
      <c r="E9" s="72" t="s">
        <v>271</v>
      </c>
    </row>
    <row r="10" spans="1:5" ht="15.6">
      <c r="A10" s="32" t="s">
        <v>114</v>
      </c>
      <c r="B10" s="33">
        <v>1</v>
      </c>
      <c r="C10" s="33">
        <v>4</v>
      </c>
      <c r="D10" s="34">
        <v>2</v>
      </c>
      <c r="E10" s="72" t="s">
        <v>272</v>
      </c>
    </row>
    <row r="11" spans="1:5" ht="15.6">
      <c r="A11" s="32" t="s">
        <v>31</v>
      </c>
      <c r="B11" s="38">
        <v>1</v>
      </c>
      <c r="C11" s="38">
        <v>4</v>
      </c>
      <c r="D11" s="34">
        <v>3</v>
      </c>
      <c r="E11" s="72" t="s">
        <v>273</v>
      </c>
    </row>
    <row r="12" spans="1:5" ht="15.6">
      <c r="A12" s="32" t="s">
        <v>12</v>
      </c>
      <c r="B12" s="34">
        <v>1</v>
      </c>
      <c r="C12" s="34">
        <v>5</v>
      </c>
      <c r="D12" s="34">
        <v>2</v>
      </c>
      <c r="E12" s="72" t="s">
        <v>274</v>
      </c>
    </row>
    <row r="13" spans="1:5" ht="15.6">
      <c r="A13" s="32" t="s">
        <v>13</v>
      </c>
      <c r="B13" s="34">
        <v>1</v>
      </c>
      <c r="C13" s="34">
        <v>6</v>
      </c>
      <c r="D13" s="34">
        <v>2</v>
      </c>
      <c r="E13" s="72" t="s">
        <v>275</v>
      </c>
    </row>
    <row r="14" spans="1:5" ht="15.6">
      <c r="A14" s="32" t="s">
        <v>14</v>
      </c>
      <c r="B14" s="34">
        <v>1</v>
      </c>
      <c r="C14" s="34">
        <v>11</v>
      </c>
      <c r="D14" s="34">
        <v>1</v>
      </c>
      <c r="E14" s="72" t="s">
        <v>276</v>
      </c>
    </row>
    <row r="15" spans="1:5" ht="15.6">
      <c r="A15" s="32" t="s">
        <v>15</v>
      </c>
      <c r="B15" s="34">
        <v>1</v>
      </c>
      <c r="C15" s="34">
        <v>12</v>
      </c>
      <c r="D15" s="34">
        <v>4</v>
      </c>
      <c r="E15" s="72" t="s">
        <v>277</v>
      </c>
    </row>
    <row r="16" spans="1:5" ht="15.6">
      <c r="A16" s="32" t="s">
        <v>106</v>
      </c>
      <c r="B16" s="34">
        <v>1</v>
      </c>
      <c r="C16" s="34">
        <v>1</v>
      </c>
      <c r="D16" s="34">
        <v>5</v>
      </c>
      <c r="E16" s="72" t="s">
        <v>278</v>
      </c>
    </row>
    <row r="17" spans="1:5" ht="15.6">
      <c r="A17" s="32" t="s">
        <v>8</v>
      </c>
      <c r="B17" s="34">
        <v>1</v>
      </c>
      <c r="C17" s="34">
        <v>13</v>
      </c>
      <c r="D17" s="34">
        <v>1</v>
      </c>
      <c r="E17" s="72" t="s">
        <v>279</v>
      </c>
    </row>
    <row r="18" spans="1:5" ht="15.6">
      <c r="A18" s="32" t="s">
        <v>9</v>
      </c>
      <c r="B18" s="34">
        <v>1</v>
      </c>
      <c r="C18" s="34">
        <v>14</v>
      </c>
      <c r="D18" s="34">
        <v>1</v>
      </c>
      <c r="E18" s="72" t="s">
        <v>280</v>
      </c>
    </row>
    <row r="19" spans="1:5" ht="15.6">
      <c r="A19" s="32" t="s">
        <v>10</v>
      </c>
      <c r="B19" s="34">
        <v>1</v>
      </c>
      <c r="C19" s="34">
        <v>15</v>
      </c>
      <c r="D19" s="34">
        <v>2</v>
      </c>
      <c r="E19" s="72" t="s">
        <v>281</v>
      </c>
    </row>
    <row r="20" spans="1:5" ht="15.6">
      <c r="A20" s="32" t="s">
        <v>32</v>
      </c>
      <c r="B20" s="34">
        <v>4</v>
      </c>
      <c r="C20" s="34">
        <v>1</v>
      </c>
      <c r="D20" s="34">
        <v>2</v>
      </c>
      <c r="E20" s="72" t="s">
        <v>300</v>
      </c>
    </row>
    <row r="21" spans="1:5" ht="15.6">
      <c r="A21" s="32" t="s">
        <v>131</v>
      </c>
      <c r="B21" s="34">
        <v>4</v>
      </c>
      <c r="C21" s="34">
        <v>4</v>
      </c>
      <c r="D21" s="34">
        <v>1</v>
      </c>
      <c r="E21" s="72" t="s">
        <v>301</v>
      </c>
    </row>
    <row r="22" spans="1:5" ht="15.6">
      <c r="A22" s="32" t="s">
        <v>33</v>
      </c>
      <c r="B22" s="34">
        <v>4</v>
      </c>
      <c r="C22" s="34">
        <v>5</v>
      </c>
      <c r="D22" s="34">
        <v>1</v>
      </c>
      <c r="E22" s="72" t="s">
        <v>302</v>
      </c>
    </row>
    <row r="23" spans="1:5" ht="15.6">
      <c r="A23" s="32" t="s">
        <v>34</v>
      </c>
      <c r="B23" s="34">
        <v>4</v>
      </c>
      <c r="C23" s="34">
        <v>6</v>
      </c>
      <c r="D23" s="34">
        <v>3</v>
      </c>
      <c r="E23" s="72" t="s">
        <v>303</v>
      </c>
    </row>
    <row r="24" spans="1:5" ht="15.6">
      <c r="A24" s="32" t="s">
        <v>132</v>
      </c>
      <c r="B24" s="34">
        <v>4</v>
      </c>
      <c r="C24" s="34">
        <v>7</v>
      </c>
      <c r="D24" s="34">
        <v>1</v>
      </c>
      <c r="E24" s="72" t="s">
        <v>304</v>
      </c>
    </row>
    <row r="25" spans="1:5" ht="15.6">
      <c r="A25" s="32" t="s">
        <v>121</v>
      </c>
      <c r="B25" s="34">
        <v>4</v>
      </c>
      <c r="C25" s="34">
        <v>8</v>
      </c>
      <c r="D25" s="34">
        <v>2</v>
      </c>
      <c r="E25" s="72" t="s">
        <v>305</v>
      </c>
    </row>
    <row r="26" spans="1:5" ht="15.6">
      <c r="A26" s="32" t="s">
        <v>133</v>
      </c>
      <c r="B26" s="34">
        <v>4</v>
      </c>
      <c r="C26" s="34">
        <v>9</v>
      </c>
      <c r="D26" s="34">
        <v>2</v>
      </c>
      <c r="E26" s="72" t="s">
        <v>306</v>
      </c>
    </row>
    <row r="27" spans="1:5" ht="15.6">
      <c r="A27" s="32" t="s">
        <v>134</v>
      </c>
      <c r="B27" s="34">
        <v>4</v>
      </c>
      <c r="C27" s="34">
        <v>10</v>
      </c>
      <c r="D27" s="34">
        <v>2</v>
      </c>
      <c r="E27" s="72" t="s">
        <v>307</v>
      </c>
    </row>
    <row r="28" spans="1:5" ht="15.6">
      <c r="A28" s="32" t="s">
        <v>135</v>
      </c>
      <c r="B28" s="34">
        <v>4</v>
      </c>
      <c r="C28" s="34">
        <v>11</v>
      </c>
      <c r="D28" s="34">
        <v>2</v>
      </c>
      <c r="E28" s="72" t="s">
        <v>308</v>
      </c>
    </row>
    <row r="29" spans="1:5" ht="15.6">
      <c r="A29" s="32" t="s">
        <v>136</v>
      </c>
      <c r="B29" s="34">
        <v>4</v>
      </c>
      <c r="C29" s="34">
        <v>12</v>
      </c>
      <c r="D29" s="34">
        <v>1</v>
      </c>
      <c r="E29" s="72" t="s">
        <v>309</v>
      </c>
    </row>
    <row r="30" spans="1:5" ht="15.6">
      <c r="A30" s="32" t="s">
        <v>137</v>
      </c>
      <c r="B30" s="34">
        <v>4.0999999999999996</v>
      </c>
      <c r="C30" s="34">
        <v>3</v>
      </c>
      <c r="D30" s="34">
        <v>1</v>
      </c>
      <c r="E30" s="72" t="s">
        <v>310</v>
      </c>
    </row>
    <row r="31" spans="1:5" ht="15.6">
      <c r="A31" s="32" t="s">
        <v>138</v>
      </c>
      <c r="B31" s="34">
        <v>4.0999999999999996</v>
      </c>
      <c r="C31" s="34">
        <v>4</v>
      </c>
      <c r="D31" s="34">
        <v>2</v>
      </c>
      <c r="E31" s="72" t="s">
        <v>311</v>
      </c>
    </row>
    <row r="32" spans="1:5" ht="15.6">
      <c r="A32" s="32" t="s">
        <v>139</v>
      </c>
      <c r="B32" s="34">
        <v>4.0999999999999996</v>
      </c>
      <c r="C32" s="34">
        <v>5</v>
      </c>
      <c r="D32" s="34">
        <v>1</v>
      </c>
      <c r="E32" s="72" t="s">
        <v>312</v>
      </c>
    </row>
    <row r="33" spans="1:5" ht="15.6">
      <c r="A33" s="32" t="s">
        <v>140</v>
      </c>
      <c r="B33" s="34">
        <v>4.0999999999999996</v>
      </c>
      <c r="C33" s="34">
        <v>6</v>
      </c>
      <c r="D33" s="34">
        <v>1</v>
      </c>
      <c r="E33" s="72" t="s">
        <v>313</v>
      </c>
    </row>
    <row r="34" spans="1:5" ht="15.6">
      <c r="A34" s="32" t="s">
        <v>141</v>
      </c>
      <c r="B34" s="34">
        <v>4.0999999999999996</v>
      </c>
      <c r="C34" s="34">
        <v>7</v>
      </c>
      <c r="D34" s="34">
        <v>1</v>
      </c>
      <c r="E34" s="72" t="s">
        <v>314</v>
      </c>
    </row>
    <row r="35" spans="1:5" ht="15.6">
      <c r="A35" s="32" t="s">
        <v>142</v>
      </c>
      <c r="B35" s="34">
        <v>5.0999999999999996</v>
      </c>
      <c r="C35" s="34">
        <v>3</v>
      </c>
      <c r="D35" s="34">
        <v>2</v>
      </c>
      <c r="E35" s="72" t="s">
        <v>315</v>
      </c>
    </row>
    <row r="36" spans="1:5" ht="15.6">
      <c r="A36" s="32" t="s">
        <v>143</v>
      </c>
      <c r="B36" s="34">
        <v>5.0999999999999996</v>
      </c>
      <c r="C36" s="34">
        <v>5</v>
      </c>
      <c r="D36" s="34">
        <v>5</v>
      </c>
      <c r="E36" s="72" t="s">
        <v>316</v>
      </c>
    </row>
    <row r="37" spans="1:5" ht="15.6">
      <c r="A37" s="32" t="s">
        <v>144</v>
      </c>
      <c r="B37" s="34">
        <v>5.0999999999999996</v>
      </c>
      <c r="C37" s="34">
        <v>6</v>
      </c>
      <c r="D37" s="34">
        <v>3</v>
      </c>
      <c r="E37" s="72" t="s">
        <v>317</v>
      </c>
    </row>
    <row r="38" spans="1:5" ht="15.6">
      <c r="A38" s="32" t="s">
        <v>145</v>
      </c>
      <c r="B38" s="34">
        <v>5.0999999999999996</v>
      </c>
      <c r="C38" s="34">
        <v>7</v>
      </c>
      <c r="D38" s="34">
        <v>1</v>
      </c>
      <c r="E38" s="72" t="s">
        <v>318</v>
      </c>
    </row>
    <row r="39" spans="1:5" ht="15.6">
      <c r="A39" s="32" t="s">
        <v>146</v>
      </c>
      <c r="B39" s="34">
        <v>5.0999999999999996</v>
      </c>
      <c r="C39" s="34">
        <v>8</v>
      </c>
      <c r="D39" s="34">
        <v>2</v>
      </c>
      <c r="E39" s="72" t="s">
        <v>319</v>
      </c>
    </row>
    <row r="40" spans="1:5" ht="15.6">
      <c r="A40" s="32" t="s">
        <v>147</v>
      </c>
      <c r="B40" s="34">
        <v>5.0999999999999996</v>
      </c>
      <c r="C40" s="34">
        <v>9</v>
      </c>
      <c r="D40" s="34">
        <v>2</v>
      </c>
      <c r="E40" s="72" t="s">
        <v>320</v>
      </c>
    </row>
    <row r="41" spans="1:5" ht="15.6">
      <c r="A41" s="32" t="s">
        <v>148</v>
      </c>
      <c r="B41" s="34">
        <v>5.0999999999999996</v>
      </c>
      <c r="C41" s="34">
        <v>10</v>
      </c>
      <c r="D41" s="34">
        <v>1</v>
      </c>
      <c r="E41" s="72" t="s">
        <v>321</v>
      </c>
    </row>
    <row r="42" spans="1:5" ht="15.6">
      <c r="A42" s="32" t="s">
        <v>149</v>
      </c>
      <c r="B42" s="34">
        <v>5.0999999999999996</v>
      </c>
      <c r="C42" s="34">
        <v>11</v>
      </c>
      <c r="D42" s="34">
        <v>1</v>
      </c>
      <c r="E42" s="72" t="s">
        <v>322</v>
      </c>
    </row>
    <row r="43" spans="1:5" ht="15.6">
      <c r="A43" s="32" t="s">
        <v>150</v>
      </c>
      <c r="B43" s="34">
        <v>5.0999999999999996</v>
      </c>
      <c r="C43" s="34">
        <v>12</v>
      </c>
      <c r="D43" s="34">
        <v>1</v>
      </c>
      <c r="E43" s="72" t="s">
        <v>323</v>
      </c>
    </row>
    <row r="44" spans="1:5" ht="15.6">
      <c r="A44" s="32" t="s">
        <v>151</v>
      </c>
      <c r="B44" s="34">
        <v>5.0999999999999996</v>
      </c>
      <c r="C44" s="34">
        <v>13</v>
      </c>
      <c r="D44" s="34">
        <v>1</v>
      </c>
      <c r="E44" s="72" t="s">
        <v>324</v>
      </c>
    </row>
    <row r="45" spans="1:5" ht="15.6">
      <c r="A45" s="32" t="s">
        <v>152</v>
      </c>
      <c r="B45" s="34">
        <v>5.0999999999999996</v>
      </c>
      <c r="C45" s="34">
        <v>14</v>
      </c>
      <c r="D45" s="34">
        <v>1</v>
      </c>
      <c r="E45" s="72" t="s">
        <v>325</v>
      </c>
    </row>
    <row r="46" spans="1:5" ht="15.6">
      <c r="A46" s="32" t="s">
        <v>142</v>
      </c>
      <c r="B46" s="34">
        <v>5.2</v>
      </c>
      <c r="C46" s="34">
        <v>3</v>
      </c>
      <c r="D46" s="34">
        <v>2</v>
      </c>
      <c r="E46" s="72" t="s">
        <v>326</v>
      </c>
    </row>
    <row r="47" spans="1:5" ht="15.6">
      <c r="A47" s="32" t="s">
        <v>143</v>
      </c>
      <c r="B47" s="34">
        <v>5.2</v>
      </c>
      <c r="C47" s="34">
        <v>5</v>
      </c>
      <c r="D47" s="34">
        <v>5</v>
      </c>
      <c r="E47" s="72" t="s">
        <v>327</v>
      </c>
    </row>
    <row r="48" spans="1:5" ht="15.6">
      <c r="A48" s="32" t="s">
        <v>144</v>
      </c>
      <c r="B48" s="34">
        <v>5.2</v>
      </c>
      <c r="C48" s="34">
        <v>6</v>
      </c>
      <c r="D48" s="34">
        <v>3</v>
      </c>
      <c r="E48" s="72" t="s">
        <v>328</v>
      </c>
    </row>
    <row r="49" spans="1:5" ht="15.6">
      <c r="A49" s="32" t="s">
        <v>153</v>
      </c>
      <c r="B49" s="34">
        <v>5.2</v>
      </c>
      <c r="C49" s="34">
        <v>7</v>
      </c>
      <c r="D49" s="34">
        <v>2</v>
      </c>
      <c r="E49" s="72" t="s">
        <v>329</v>
      </c>
    </row>
    <row r="50" spans="1:5" ht="15.6">
      <c r="A50" s="32" t="s">
        <v>154</v>
      </c>
      <c r="B50" s="34">
        <v>5.2</v>
      </c>
      <c r="C50" s="34">
        <v>8</v>
      </c>
      <c r="D50" s="34">
        <v>2</v>
      </c>
      <c r="E50" s="72" t="s">
        <v>330</v>
      </c>
    </row>
    <row r="51" spans="1:5" ht="15.6">
      <c r="A51" s="32" t="s">
        <v>155</v>
      </c>
      <c r="B51" s="34">
        <v>5.2</v>
      </c>
      <c r="C51" s="34">
        <v>9</v>
      </c>
      <c r="D51" s="34">
        <v>1</v>
      </c>
      <c r="E51" s="72" t="s">
        <v>331</v>
      </c>
    </row>
    <row r="52" spans="1:5" ht="15.6">
      <c r="A52" s="32" t="s">
        <v>156</v>
      </c>
      <c r="B52" s="34">
        <v>5.2</v>
      </c>
      <c r="C52" s="34">
        <v>10</v>
      </c>
      <c r="D52" s="34">
        <v>1</v>
      </c>
      <c r="E52" s="72" t="s">
        <v>332</v>
      </c>
    </row>
    <row r="53" spans="1:5" ht="15.6">
      <c r="A53" s="32" t="s">
        <v>157</v>
      </c>
      <c r="B53" s="34">
        <v>5.2</v>
      </c>
      <c r="C53" s="34">
        <v>11</v>
      </c>
      <c r="D53" s="34">
        <v>1</v>
      </c>
      <c r="E53" s="72" t="s">
        <v>333</v>
      </c>
    </row>
    <row r="54" spans="1:5" ht="15.6">
      <c r="A54" s="32" t="s">
        <v>158</v>
      </c>
      <c r="B54" s="34">
        <v>5.2</v>
      </c>
      <c r="C54" s="34">
        <v>12</v>
      </c>
      <c r="D54" s="34">
        <v>1</v>
      </c>
      <c r="E54" s="72" t="s">
        <v>334</v>
      </c>
    </row>
    <row r="55" spans="1:5" ht="15.6">
      <c r="A55" s="32" t="s">
        <v>159</v>
      </c>
      <c r="B55" s="34">
        <v>5.2</v>
      </c>
      <c r="C55" s="34">
        <v>13</v>
      </c>
      <c r="D55" s="34">
        <v>1</v>
      </c>
      <c r="E55" s="72" t="s">
        <v>335</v>
      </c>
    </row>
    <row r="56" spans="1:5" ht="15.6">
      <c r="A56" s="32" t="s">
        <v>160</v>
      </c>
      <c r="B56" s="34">
        <v>5.3</v>
      </c>
      <c r="C56" s="34">
        <v>5</v>
      </c>
      <c r="D56" s="34">
        <v>1</v>
      </c>
      <c r="E56" s="72" t="s">
        <v>336</v>
      </c>
    </row>
    <row r="57" spans="1:5" ht="15.6">
      <c r="A57" s="32" t="s">
        <v>161</v>
      </c>
      <c r="B57" s="34">
        <v>5.3</v>
      </c>
      <c r="C57" s="34">
        <v>6</v>
      </c>
      <c r="D57" s="34">
        <v>1</v>
      </c>
      <c r="E57" s="72" t="s">
        <v>337</v>
      </c>
    </row>
    <row r="58" spans="1:5" ht="15.6">
      <c r="A58" s="32" t="s">
        <v>162</v>
      </c>
      <c r="B58" s="34">
        <v>5.3</v>
      </c>
      <c r="C58" s="34">
        <v>7</v>
      </c>
      <c r="D58" s="34">
        <v>1</v>
      </c>
      <c r="E58" s="72" t="s">
        <v>338</v>
      </c>
    </row>
    <row r="59" spans="1:5" ht="15.6">
      <c r="A59" s="32" t="s">
        <v>163</v>
      </c>
      <c r="B59" s="34">
        <v>5.3</v>
      </c>
      <c r="C59" s="34">
        <v>8</v>
      </c>
      <c r="D59" s="34">
        <v>1</v>
      </c>
      <c r="E59" s="72" t="s">
        <v>339</v>
      </c>
    </row>
    <row r="60" spans="1:5" ht="15.6">
      <c r="A60" s="32" t="s">
        <v>164</v>
      </c>
      <c r="B60" s="34">
        <v>5.3</v>
      </c>
      <c r="C60" s="34">
        <v>9</v>
      </c>
      <c r="D60" s="34">
        <v>1</v>
      </c>
      <c r="E60" s="72" t="s">
        <v>340</v>
      </c>
    </row>
    <row r="61" spans="1:5" ht="15.6">
      <c r="A61" s="32" t="s">
        <v>165</v>
      </c>
      <c r="B61" s="34">
        <v>5.3</v>
      </c>
      <c r="C61" s="34">
        <v>10</v>
      </c>
      <c r="D61" s="34">
        <v>1</v>
      </c>
      <c r="E61" s="72" t="s">
        <v>341</v>
      </c>
    </row>
    <row r="62" spans="1:5" ht="15.6">
      <c r="A62" s="32" t="s">
        <v>424</v>
      </c>
      <c r="B62" s="34">
        <v>5.3</v>
      </c>
      <c r="C62" s="34">
        <v>11</v>
      </c>
      <c r="D62" s="34">
        <v>2</v>
      </c>
      <c r="E62" s="72" t="s">
        <v>342</v>
      </c>
    </row>
    <row r="63" spans="1:5" ht="15.6">
      <c r="A63" s="32" t="s">
        <v>167</v>
      </c>
      <c r="B63" s="34">
        <v>5.3</v>
      </c>
      <c r="C63" s="34">
        <v>12</v>
      </c>
      <c r="D63" s="34">
        <v>1</v>
      </c>
      <c r="E63" s="72" t="s">
        <v>343</v>
      </c>
    </row>
    <row r="64" spans="1:5" ht="15.6">
      <c r="A64" s="32" t="s">
        <v>168</v>
      </c>
      <c r="B64" s="34">
        <v>6</v>
      </c>
      <c r="C64" s="38" t="s">
        <v>169</v>
      </c>
      <c r="D64" s="34">
        <v>2</v>
      </c>
      <c r="E64" s="72" t="s">
        <v>344</v>
      </c>
    </row>
    <row r="65" spans="1:5" ht="15.6">
      <c r="A65" s="32" t="s">
        <v>170</v>
      </c>
      <c r="B65" s="34">
        <v>6</v>
      </c>
      <c r="C65" s="38" t="s">
        <v>171</v>
      </c>
      <c r="D65" s="34">
        <v>2</v>
      </c>
      <c r="E65" s="72" t="s">
        <v>345</v>
      </c>
    </row>
    <row r="66" spans="1:5" ht="15.6">
      <c r="A66" s="32" t="s">
        <v>172</v>
      </c>
      <c r="B66" s="34">
        <v>6</v>
      </c>
      <c r="C66" s="38" t="s">
        <v>173</v>
      </c>
      <c r="D66" s="34">
        <v>2</v>
      </c>
      <c r="E66" s="72" t="s">
        <v>346</v>
      </c>
    </row>
    <row r="67" spans="1:5" ht="15.6">
      <c r="A67" s="32" t="s">
        <v>174</v>
      </c>
      <c r="B67" s="34">
        <v>6</v>
      </c>
      <c r="C67" s="38" t="s">
        <v>175</v>
      </c>
      <c r="D67" s="34">
        <v>5</v>
      </c>
      <c r="E67" s="72" t="s">
        <v>347</v>
      </c>
    </row>
    <row r="68" spans="1:5" ht="15.6">
      <c r="A68" s="32" t="s">
        <v>176</v>
      </c>
      <c r="B68" s="34">
        <v>6</v>
      </c>
      <c r="C68" s="38" t="s">
        <v>169</v>
      </c>
      <c r="D68" s="34">
        <v>2</v>
      </c>
      <c r="E68" s="72" t="s">
        <v>348</v>
      </c>
    </row>
    <row r="69" spans="1:5" ht="15.6">
      <c r="A69" s="32" t="s">
        <v>177</v>
      </c>
      <c r="B69" s="34">
        <v>6</v>
      </c>
      <c r="C69" s="38" t="s">
        <v>171</v>
      </c>
      <c r="D69" s="34">
        <v>2</v>
      </c>
      <c r="E69" s="72" t="s">
        <v>349</v>
      </c>
    </row>
    <row r="70" spans="1:5" ht="15.6">
      <c r="A70" s="32" t="s">
        <v>178</v>
      </c>
      <c r="B70" s="34">
        <v>6</v>
      </c>
      <c r="C70" s="38" t="s">
        <v>173</v>
      </c>
      <c r="D70" s="34">
        <v>2</v>
      </c>
      <c r="E70" s="72" t="s">
        <v>350</v>
      </c>
    </row>
    <row r="71" spans="1:5" ht="15.6">
      <c r="A71" s="32" t="s">
        <v>179</v>
      </c>
      <c r="B71" s="34">
        <v>6</v>
      </c>
      <c r="C71" s="38" t="s">
        <v>175</v>
      </c>
      <c r="D71" s="34">
        <v>5</v>
      </c>
      <c r="E71" s="72" t="s">
        <v>351</v>
      </c>
    </row>
    <row r="72" spans="1:5" ht="15.6">
      <c r="A72" s="32" t="s">
        <v>180</v>
      </c>
      <c r="B72" s="34">
        <v>6</v>
      </c>
      <c r="C72" s="38" t="s">
        <v>181</v>
      </c>
      <c r="D72" s="34">
        <v>2</v>
      </c>
      <c r="E72" s="72" t="s">
        <v>352</v>
      </c>
    </row>
    <row r="73" spans="1:5" ht="15.6">
      <c r="A73" s="32" t="s">
        <v>182</v>
      </c>
      <c r="B73" s="34">
        <v>6</v>
      </c>
      <c r="C73" s="38" t="s">
        <v>183</v>
      </c>
      <c r="D73" s="34">
        <v>2</v>
      </c>
      <c r="E73" s="72" t="s">
        <v>353</v>
      </c>
    </row>
    <row r="74" spans="1:5" ht="15.6">
      <c r="A74" s="32" t="s">
        <v>168</v>
      </c>
      <c r="B74" s="34">
        <v>6</v>
      </c>
      <c r="C74" s="38" t="s">
        <v>184</v>
      </c>
      <c r="D74" s="34">
        <v>2</v>
      </c>
      <c r="E74" s="72" t="s">
        <v>354</v>
      </c>
    </row>
    <row r="75" spans="1:5" ht="15.6">
      <c r="A75" s="32" t="s">
        <v>170</v>
      </c>
      <c r="B75" s="34">
        <v>6</v>
      </c>
      <c r="C75" s="38" t="s">
        <v>185</v>
      </c>
      <c r="D75" s="34">
        <v>2</v>
      </c>
      <c r="E75" s="72" t="s">
        <v>355</v>
      </c>
    </row>
    <row r="76" spans="1:5" ht="15.6">
      <c r="A76" s="32" t="s">
        <v>186</v>
      </c>
      <c r="B76" s="34">
        <v>6</v>
      </c>
      <c r="C76" s="38" t="s">
        <v>187</v>
      </c>
      <c r="D76" s="34">
        <v>2</v>
      </c>
      <c r="E76" s="72" t="s">
        <v>356</v>
      </c>
    </row>
    <row r="77" spans="1:5" ht="15.6">
      <c r="A77" s="32" t="s">
        <v>174</v>
      </c>
      <c r="B77" s="34">
        <v>6</v>
      </c>
      <c r="C77" s="38" t="s">
        <v>188</v>
      </c>
      <c r="D77" s="34">
        <v>5</v>
      </c>
      <c r="E77" s="72" t="s">
        <v>357</v>
      </c>
    </row>
    <row r="78" spans="1:5" ht="15.6">
      <c r="A78" s="32" t="s">
        <v>176</v>
      </c>
      <c r="B78" s="34">
        <v>6</v>
      </c>
      <c r="C78" s="38" t="s">
        <v>184</v>
      </c>
      <c r="D78" s="34">
        <v>2</v>
      </c>
      <c r="E78" s="72" t="s">
        <v>358</v>
      </c>
    </row>
    <row r="79" spans="1:5" ht="15.6">
      <c r="A79" s="32" t="s">
        <v>177</v>
      </c>
      <c r="B79" s="34">
        <v>6</v>
      </c>
      <c r="C79" s="38" t="s">
        <v>185</v>
      </c>
      <c r="D79" s="34">
        <v>2</v>
      </c>
      <c r="E79" s="72" t="s">
        <v>359</v>
      </c>
    </row>
    <row r="80" spans="1:5" ht="15.6">
      <c r="A80" s="32" t="s">
        <v>189</v>
      </c>
      <c r="B80" s="34">
        <v>6</v>
      </c>
      <c r="C80" s="38" t="s">
        <v>187</v>
      </c>
      <c r="D80" s="34">
        <v>2</v>
      </c>
      <c r="E80" s="72" t="s">
        <v>360</v>
      </c>
    </row>
    <row r="81" spans="1:5" ht="15.6">
      <c r="A81" s="32" t="s">
        <v>190</v>
      </c>
      <c r="B81" s="34">
        <v>6</v>
      </c>
      <c r="C81" s="38" t="s">
        <v>188</v>
      </c>
      <c r="D81" s="34">
        <v>5</v>
      </c>
      <c r="E81" s="72" t="s">
        <v>361</v>
      </c>
    </row>
    <row r="82" spans="1:5" ht="15.6">
      <c r="A82" s="32" t="s">
        <v>191</v>
      </c>
      <c r="B82" s="34">
        <v>6</v>
      </c>
      <c r="C82" s="38" t="s">
        <v>192</v>
      </c>
      <c r="D82" s="34">
        <v>2</v>
      </c>
      <c r="E82" s="72" t="s">
        <v>362</v>
      </c>
    </row>
    <row r="83" spans="1:5" ht="15.6">
      <c r="A83" s="32" t="s">
        <v>193</v>
      </c>
      <c r="B83" s="34">
        <v>6</v>
      </c>
      <c r="C83" s="38" t="s">
        <v>194</v>
      </c>
      <c r="D83" s="34">
        <v>2</v>
      </c>
      <c r="E83" s="72" t="s">
        <v>363</v>
      </c>
    </row>
    <row r="84" spans="1:5" ht="15.6">
      <c r="A84" s="32" t="s">
        <v>168</v>
      </c>
      <c r="B84" s="34">
        <v>6</v>
      </c>
      <c r="C84" s="38" t="s">
        <v>195</v>
      </c>
      <c r="D84" s="34">
        <v>2</v>
      </c>
      <c r="E84" s="72" t="s">
        <v>364</v>
      </c>
    </row>
    <row r="85" spans="1:5" ht="15.6">
      <c r="A85" s="32" t="s">
        <v>170</v>
      </c>
      <c r="B85" s="34">
        <v>6</v>
      </c>
      <c r="C85" s="38" t="s">
        <v>196</v>
      </c>
      <c r="D85" s="34">
        <v>2</v>
      </c>
      <c r="E85" s="72" t="s">
        <v>365</v>
      </c>
    </row>
    <row r="86" spans="1:5" ht="15.6">
      <c r="A86" s="32" t="s">
        <v>197</v>
      </c>
      <c r="B86" s="34">
        <v>6</v>
      </c>
      <c r="C86" s="38" t="s">
        <v>198</v>
      </c>
      <c r="D86" s="34">
        <v>2</v>
      </c>
      <c r="E86" s="72" t="s">
        <v>366</v>
      </c>
    </row>
    <row r="87" spans="1:5" ht="15.6">
      <c r="A87" s="32" t="s">
        <v>199</v>
      </c>
      <c r="B87" s="34">
        <v>6</v>
      </c>
      <c r="C87" s="38" t="s">
        <v>200</v>
      </c>
      <c r="D87" s="34">
        <v>5</v>
      </c>
      <c r="E87" s="72" t="s">
        <v>367</v>
      </c>
    </row>
    <row r="88" spans="1:5" ht="15.6">
      <c r="A88" s="32" t="s">
        <v>176</v>
      </c>
      <c r="B88" s="34">
        <v>6</v>
      </c>
      <c r="C88" s="38" t="s">
        <v>195</v>
      </c>
      <c r="D88" s="34">
        <v>2</v>
      </c>
      <c r="E88" s="72" t="s">
        <v>368</v>
      </c>
    </row>
    <row r="89" spans="1:5" ht="15.6">
      <c r="A89" s="32" t="s">
        <v>177</v>
      </c>
      <c r="B89" s="34">
        <v>6</v>
      </c>
      <c r="C89" s="38" t="s">
        <v>196</v>
      </c>
      <c r="D89" s="34">
        <v>2</v>
      </c>
      <c r="E89" s="72" t="s">
        <v>369</v>
      </c>
    </row>
    <row r="90" spans="1:5" ht="15.6">
      <c r="A90" s="32" t="s">
        <v>201</v>
      </c>
      <c r="B90" s="34">
        <v>6</v>
      </c>
      <c r="C90" s="38" t="s">
        <v>198</v>
      </c>
      <c r="D90" s="34">
        <v>2</v>
      </c>
      <c r="E90" s="72" t="s">
        <v>370</v>
      </c>
    </row>
    <row r="91" spans="1:5" ht="15.6">
      <c r="A91" s="32" t="s">
        <v>202</v>
      </c>
      <c r="B91" s="34">
        <v>6</v>
      </c>
      <c r="C91" s="38" t="s">
        <v>200</v>
      </c>
      <c r="D91" s="34">
        <v>5</v>
      </c>
      <c r="E91" s="72" t="s">
        <v>371</v>
      </c>
    </row>
    <row r="92" spans="1:5" ht="15.6">
      <c r="A92" s="32" t="s">
        <v>203</v>
      </c>
      <c r="B92" s="34">
        <v>6</v>
      </c>
      <c r="C92" s="38" t="s">
        <v>204</v>
      </c>
      <c r="D92" s="34">
        <v>2</v>
      </c>
      <c r="E92" s="72" t="s">
        <v>372</v>
      </c>
    </row>
    <row r="93" spans="1:5" ht="15.6">
      <c r="A93" s="32" t="s">
        <v>205</v>
      </c>
      <c r="B93" s="34">
        <v>6</v>
      </c>
      <c r="C93" s="38" t="s">
        <v>206</v>
      </c>
      <c r="D93" s="34">
        <v>2</v>
      </c>
      <c r="E93" s="72" t="s">
        <v>373</v>
      </c>
    </row>
    <row r="94" spans="1:5" ht="15.6">
      <c r="A94" s="32" t="s">
        <v>168</v>
      </c>
      <c r="B94" s="34">
        <v>6</v>
      </c>
      <c r="C94" s="38" t="s">
        <v>207</v>
      </c>
      <c r="D94" s="34">
        <v>2</v>
      </c>
      <c r="E94" s="72" t="s">
        <v>374</v>
      </c>
    </row>
    <row r="95" spans="1:5" ht="15.6">
      <c r="A95" s="32" t="s">
        <v>170</v>
      </c>
      <c r="B95" s="34">
        <v>6</v>
      </c>
      <c r="C95" s="38" t="s">
        <v>208</v>
      </c>
      <c r="D95" s="34">
        <v>2</v>
      </c>
      <c r="E95" s="72" t="s">
        <v>375</v>
      </c>
    </row>
    <row r="96" spans="1:5" ht="15.6">
      <c r="A96" s="32" t="s">
        <v>209</v>
      </c>
      <c r="B96" s="34">
        <v>6</v>
      </c>
      <c r="C96" s="38" t="s">
        <v>210</v>
      </c>
      <c r="D96" s="34">
        <v>2</v>
      </c>
      <c r="E96" s="72" t="s">
        <v>376</v>
      </c>
    </row>
    <row r="97" spans="1:5" ht="15.6">
      <c r="A97" s="32" t="s">
        <v>211</v>
      </c>
      <c r="B97" s="34">
        <v>6</v>
      </c>
      <c r="C97" s="38" t="s">
        <v>212</v>
      </c>
      <c r="D97" s="34">
        <v>5</v>
      </c>
      <c r="E97" s="72" t="s">
        <v>377</v>
      </c>
    </row>
    <row r="98" spans="1:5" ht="15.6">
      <c r="A98" s="32" t="s">
        <v>176</v>
      </c>
      <c r="B98" s="34">
        <v>6</v>
      </c>
      <c r="C98" s="38" t="s">
        <v>207</v>
      </c>
      <c r="D98" s="34">
        <v>2</v>
      </c>
      <c r="E98" s="72" t="s">
        <v>378</v>
      </c>
    </row>
    <row r="99" spans="1:5" ht="15.6">
      <c r="A99" s="32" t="s">
        <v>177</v>
      </c>
      <c r="B99" s="34">
        <v>6</v>
      </c>
      <c r="C99" s="38" t="s">
        <v>208</v>
      </c>
      <c r="D99" s="34">
        <v>2</v>
      </c>
      <c r="E99" s="72" t="s">
        <v>379</v>
      </c>
    </row>
    <row r="100" spans="1:5" ht="15.6">
      <c r="A100" s="32" t="s">
        <v>213</v>
      </c>
      <c r="B100" s="34">
        <v>6</v>
      </c>
      <c r="C100" s="38" t="s">
        <v>210</v>
      </c>
      <c r="D100" s="34">
        <v>2</v>
      </c>
      <c r="E100" s="72" t="s">
        <v>380</v>
      </c>
    </row>
    <row r="101" spans="1:5" ht="15.6">
      <c r="A101" s="32" t="s">
        <v>214</v>
      </c>
      <c r="B101" s="34">
        <v>6</v>
      </c>
      <c r="C101" s="38" t="s">
        <v>212</v>
      </c>
      <c r="D101" s="34">
        <v>5</v>
      </c>
      <c r="E101" s="72" t="s">
        <v>381</v>
      </c>
    </row>
    <row r="102" spans="1:5" ht="15.6">
      <c r="A102" s="32" t="s">
        <v>215</v>
      </c>
      <c r="B102" s="34">
        <v>6</v>
      </c>
      <c r="C102" s="38" t="s">
        <v>216</v>
      </c>
      <c r="D102" s="34">
        <v>2</v>
      </c>
      <c r="E102" s="72" t="s">
        <v>382</v>
      </c>
    </row>
    <row r="103" spans="1:5" ht="15.6">
      <c r="A103" s="32" t="s">
        <v>217</v>
      </c>
      <c r="B103" s="34">
        <v>6</v>
      </c>
      <c r="C103" s="38" t="s">
        <v>218</v>
      </c>
      <c r="D103" s="34">
        <v>2</v>
      </c>
      <c r="E103" s="72" t="s">
        <v>383</v>
      </c>
    </row>
    <row r="104" spans="1:5" ht="15.6">
      <c r="A104" s="32" t="s">
        <v>168</v>
      </c>
      <c r="B104" s="34">
        <v>6</v>
      </c>
      <c r="C104" s="38" t="s">
        <v>219</v>
      </c>
      <c r="D104" s="34">
        <v>2</v>
      </c>
      <c r="E104" s="72" t="s">
        <v>384</v>
      </c>
    </row>
    <row r="105" spans="1:5" ht="15.6">
      <c r="A105" s="32" t="s">
        <v>170</v>
      </c>
      <c r="B105" s="34">
        <v>6</v>
      </c>
      <c r="C105" s="38" t="s">
        <v>220</v>
      </c>
      <c r="D105" s="34">
        <v>2</v>
      </c>
      <c r="E105" s="72" t="s">
        <v>385</v>
      </c>
    </row>
    <row r="106" spans="1:5" ht="15.6">
      <c r="A106" s="32" t="s">
        <v>221</v>
      </c>
      <c r="B106" s="34">
        <v>6</v>
      </c>
      <c r="C106" s="38" t="s">
        <v>222</v>
      </c>
      <c r="D106" s="34">
        <v>2</v>
      </c>
      <c r="E106" s="72" t="s">
        <v>386</v>
      </c>
    </row>
    <row r="107" spans="1:5" ht="15.6">
      <c r="A107" s="32" t="s">
        <v>223</v>
      </c>
      <c r="B107" s="34">
        <v>6</v>
      </c>
      <c r="C107" s="38" t="s">
        <v>224</v>
      </c>
      <c r="D107" s="34">
        <v>5</v>
      </c>
      <c r="E107" s="72" t="s">
        <v>387</v>
      </c>
    </row>
    <row r="108" spans="1:5" ht="15.6">
      <c r="A108" s="32" t="s">
        <v>176</v>
      </c>
      <c r="B108" s="34">
        <v>6</v>
      </c>
      <c r="C108" s="38" t="s">
        <v>219</v>
      </c>
      <c r="D108" s="34">
        <v>2</v>
      </c>
      <c r="E108" s="72" t="s">
        <v>388</v>
      </c>
    </row>
    <row r="109" spans="1:5" ht="15.6">
      <c r="A109" s="32" t="s">
        <v>177</v>
      </c>
      <c r="B109" s="34">
        <v>6</v>
      </c>
      <c r="C109" s="38" t="s">
        <v>220</v>
      </c>
      <c r="D109" s="34">
        <v>2</v>
      </c>
      <c r="E109" s="72" t="s">
        <v>389</v>
      </c>
    </row>
    <row r="110" spans="1:5" ht="15.6">
      <c r="A110" s="32" t="s">
        <v>225</v>
      </c>
      <c r="B110" s="34">
        <v>6</v>
      </c>
      <c r="C110" s="38" t="s">
        <v>222</v>
      </c>
      <c r="D110" s="34">
        <v>2</v>
      </c>
      <c r="E110" s="72" t="s">
        <v>390</v>
      </c>
    </row>
    <row r="111" spans="1:5" ht="15.6">
      <c r="A111" s="32" t="s">
        <v>226</v>
      </c>
      <c r="B111" s="34">
        <v>6</v>
      </c>
      <c r="C111" s="38" t="s">
        <v>224</v>
      </c>
      <c r="D111" s="34">
        <v>5</v>
      </c>
      <c r="E111" s="72" t="s">
        <v>391</v>
      </c>
    </row>
    <row r="112" spans="1:5" ht="15.6">
      <c r="A112" s="32" t="s">
        <v>227</v>
      </c>
      <c r="B112" s="34">
        <v>6</v>
      </c>
      <c r="C112" s="38" t="s">
        <v>228</v>
      </c>
      <c r="D112" s="34">
        <v>2</v>
      </c>
      <c r="E112" s="72" t="s">
        <v>392</v>
      </c>
    </row>
    <row r="113" spans="1:5" ht="15.6">
      <c r="A113" s="32" t="s">
        <v>229</v>
      </c>
      <c r="B113" s="34">
        <v>6</v>
      </c>
      <c r="C113" s="38" t="s">
        <v>230</v>
      </c>
      <c r="D113" s="34">
        <v>2</v>
      </c>
      <c r="E113" s="72" t="s">
        <v>393</v>
      </c>
    </row>
    <row r="114" spans="1:5" ht="15.6">
      <c r="A114" s="32" t="s">
        <v>168</v>
      </c>
      <c r="B114" s="34">
        <v>6</v>
      </c>
      <c r="C114" s="38" t="s">
        <v>231</v>
      </c>
      <c r="D114" s="34">
        <v>2</v>
      </c>
      <c r="E114" s="72" t="s">
        <v>394</v>
      </c>
    </row>
    <row r="115" spans="1:5" ht="15.6">
      <c r="A115" s="32" t="s">
        <v>170</v>
      </c>
      <c r="B115" s="34">
        <v>6</v>
      </c>
      <c r="C115" s="38" t="s">
        <v>232</v>
      </c>
      <c r="D115" s="34">
        <v>2</v>
      </c>
      <c r="E115" s="72" t="s">
        <v>395</v>
      </c>
    </row>
    <row r="116" spans="1:5" ht="15.6">
      <c r="A116" s="32" t="s">
        <v>233</v>
      </c>
      <c r="B116" s="34">
        <v>6</v>
      </c>
      <c r="C116" s="38" t="s">
        <v>234</v>
      </c>
      <c r="D116" s="34">
        <v>2</v>
      </c>
      <c r="E116" s="72" t="s">
        <v>396</v>
      </c>
    </row>
    <row r="117" spans="1:5" ht="15.6">
      <c r="A117" s="32" t="s">
        <v>235</v>
      </c>
      <c r="B117" s="34">
        <v>6</v>
      </c>
      <c r="C117" s="38" t="s">
        <v>236</v>
      </c>
      <c r="D117" s="34">
        <v>5</v>
      </c>
      <c r="E117" s="72" t="s">
        <v>397</v>
      </c>
    </row>
    <row r="118" spans="1:5" ht="15.6">
      <c r="A118" s="32" t="s">
        <v>176</v>
      </c>
      <c r="B118" s="34">
        <v>6</v>
      </c>
      <c r="C118" s="38" t="s">
        <v>231</v>
      </c>
      <c r="D118" s="34">
        <v>2</v>
      </c>
      <c r="E118" s="72" t="s">
        <v>398</v>
      </c>
    </row>
    <row r="119" spans="1:5" ht="15.6">
      <c r="A119" s="32" t="s">
        <v>177</v>
      </c>
      <c r="B119" s="34">
        <v>6</v>
      </c>
      <c r="C119" s="38" t="s">
        <v>232</v>
      </c>
      <c r="D119" s="34">
        <v>2</v>
      </c>
      <c r="E119" s="72" t="s">
        <v>399</v>
      </c>
    </row>
    <row r="120" spans="1:5" ht="15.6">
      <c r="A120" s="32" t="s">
        <v>237</v>
      </c>
      <c r="B120" s="34">
        <v>6</v>
      </c>
      <c r="C120" s="38" t="s">
        <v>234</v>
      </c>
      <c r="D120" s="34">
        <v>2</v>
      </c>
      <c r="E120" s="72" t="s">
        <v>400</v>
      </c>
    </row>
    <row r="121" spans="1:5" ht="15.6">
      <c r="A121" s="32" t="s">
        <v>238</v>
      </c>
      <c r="B121" s="34">
        <v>6</v>
      </c>
      <c r="C121" s="38" t="s">
        <v>236</v>
      </c>
      <c r="D121" s="34">
        <v>5</v>
      </c>
      <c r="E121" s="72" t="s">
        <v>401</v>
      </c>
    </row>
    <row r="122" spans="1:5" ht="15.6">
      <c r="A122" s="32" t="s">
        <v>239</v>
      </c>
      <c r="B122" s="34">
        <v>6</v>
      </c>
      <c r="C122" s="38" t="s">
        <v>240</v>
      </c>
      <c r="D122" s="34">
        <v>2</v>
      </c>
      <c r="E122" s="72" t="s">
        <v>402</v>
      </c>
    </row>
    <row r="123" spans="1:5" ht="15.6">
      <c r="A123" s="32" t="s">
        <v>241</v>
      </c>
      <c r="B123" s="34">
        <v>6</v>
      </c>
      <c r="C123" s="38" t="s">
        <v>242</v>
      </c>
      <c r="D123" s="34">
        <v>2</v>
      </c>
      <c r="E123" s="72" t="s">
        <v>403</v>
      </c>
    </row>
    <row r="124" spans="1:5" ht="15.6">
      <c r="A124" s="32" t="s">
        <v>168</v>
      </c>
      <c r="B124" s="34">
        <v>6</v>
      </c>
      <c r="C124" s="38" t="s">
        <v>243</v>
      </c>
      <c r="D124" s="34">
        <v>2</v>
      </c>
      <c r="E124" s="72" t="s">
        <v>404</v>
      </c>
    </row>
    <row r="125" spans="1:5" ht="15.6">
      <c r="A125" s="32" t="s">
        <v>170</v>
      </c>
      <c r="B125" s="34">
        <v>6</v>
      </c>
      <c r="C125" s="38" t="s">
        <v>244</v>
      </c>
      <c r="D125" s="34">
        <v>2</v>
      </c>
      <c r="E125" s="72" t="s">
        <v>405</v>
      </c>
    </row>
    <row r="126" spans="1:5" ht="15.6">
      <c r="A126" s="32" t="s">
        <v>245</v>
      </c>
      <c r="B126" s="34">
        <v>6</v>
      </c>
      <c r="C126" s="38" t="s">
        <v>246</v>
      </c>
      <c r="D126" s="34">
        <v>2</v>
      </c>
      <c r="E126" s="72" t="s">
        <v>406</v>
      </c>
    </row>
    <row r="127" spans="1:5" ht="15.6">
      <c r="A127" s="32" t="s">
        <v>247</v>
      </c>
      <c r="B127" s="34">
        <v>6</v>
      </c>
      <c r="C127" s="38" t="s">
        <v>248</v>
      </c>
      <c r="D127" s="34">
        <v>5</v>
      </c>
      <c r="E127" s="72" t="s">
        <v>407</v>
      </c>
    </row>
    <row r="128" spans="1:5" ht="15.6">
      <c r="A128" s="32" t="s">
        <v>176</v>
      </c>
      <c r="B128" s="34">
        <v>6</v>
      </c>
      <c r="C128" s="38" t="s">
        <v>243</v>
      </c>
      <c r="D128" s="34">
        <v>2</v>
      </c>
      <c r="E128" s="72" t="s">
        <v>408</v>
      </c>
    </row>
    <row r="129" spans="1:5" ht="15.6">
      <c r="A129" s="32" t="s">
        <v>177</v>
      </c>
      <c r="B129" s="34">
        <v>6</v>
      </c>
      <c r="C129" s="38" t="s">
        <v>244</v>
      </c>
      <c r="D129" s="34">
        <v>2</v>
      </c>
      <c r="E129" s="72" t="s">
        <v>409</v>
      </c>
    </row>
    <row r="130" spans="1:5" ht="15.6">
      <c r="A130" s="32" t="s">
        <v>249</v>
      </c>
      <c r="B130" s="34">
        <v>6</v>
      </c>
      <c r="C130" s="38" t="s">
        <v>246</v>
      </c>
      <c r="D130" s="34">
        <v>2</v>
      </c>
      <c r="E130" s="72" t="s">
        <v>410</v>
      </c>
    </row>
    <row r="131" spans="1:5" ht="15.6">
      <c r="A131" s="32" t="s">
        <v>250</v>
      </c>
      <c r="B131" s="34">
        <v>6</v>
      </c>
      <c r="C131" s="38" t="s">
        <v>248</v>
      </c>
      <c r="D131" s="34">
        <v>5</v>
      </c>
      <c r="E131" s="72" t="s">
        <v>411</v>
      </c>
    </row>
    <row r="132" spans="1:5" ht="15.6">
      <c r="A132" s="32" t="s">
        <v>251</v>
      </c>
      <c r="B132" s="34">
        <v>6</v>
      </c>
      <c r="C132" s="38" t="s">
        <v>252</v>
      </c>
      <c r="D132" s="34">
        <v>2</v>
      </c>
      <c r="E132" s="72" t="s">
        <v>412</v>
      </c>
    </row>
    <row r="133" spans="1:5" ht="15.6">
      <c r="A133" s="32" t="s">
        <v>253</v>
      </c>
      <c r="B133" s="34">
        <v>6</v>
      </c>
      <c r="C133" s="38" t="s">
        <v>254</v>
      </c>
      <c r="D133" s="34">
        <v>2</v>
      </c>
      <c r="E133" s="72" t="s">
        <v>413</v>
      </c>
    </row>
    <row r="134" spans="1:5" ht="15.6">
      <c r="A134" s="32" t="s">
        <v>35</v>
      </c>
      <c r="B134" s="34">
        <v>6</v>
      </c>
      <c r="C134" s="38">
        <v>5</v>
      </c>
      <c r="D134" s="34">
        <v>2</v>
      </c>
      <c r="E134" s="72" t="s">
        <v>414</v>
      </c>
    </row>
    <row r="135" spans="1:5" ht="15.6">
      <c r="A135" s="32" t="s">
        <v>36</v>
      </c>
      <c r="B135" s="34">
        <v>6</v>
      </c>
      <c r="C135" s="38">
        <v>6</v>
      </c>
      <c r="D135" s="34">
        <v>2</v>
      </c>
      <c r="E135" s="72" t="s">
        <v>415</v>
      </c>
    </row>
    <row r="136" spans="1:5" ht="15.6">
      <c r="A136" s="32" t="s">
        <v>122</v>
      </c>
      <c r="B136" s="34">
        <v>6</v>
      </c>
      <c r="C136" s="38">
        <v>7</v>
      </c>
      <c r="D136" s="34">
        <v>3</v>
      </c>
      <c r="E136" s="72" t="s">
        <v>416</v>
      </c>
    </row>
    <row r="137" spans="1:5" ht="15.6">
      <c r="A137" s="32" t="s">
        <v>255</v>
      </c>
      <c r="B137" s="34">
        <v>6</v>
      </c>
      <c r="C137" s="38">
        <v>9</v>
      </c>
      <c r="D137" s="34">
        <v>8</v>
      </c>
      <c r="E137" s="72" t="s">
        <v>417</v>
      </c>
    </row>
    <row r="138" spans="1:5" ht="15.6">
      <c r="A138" s="32" t="s">
        <v>256</v>
      </c>
      <c r="B138" s="34">
        <v>6</v>
      </c>
      <c r="C138" s="38">
        <v>10</v>
      </c>
      <c r="D138" s="34">
        <v>8</v>
      </c>
      <c r="E138" s="72" t="s">
        <v>418</v>
      </c>
    </row>
    <row r="139" spans="1:5" ht="15.6">
      <c r="A139" s="32" t="s">
        <v>110</v>
      </c>
      <c r="B139" s="38" t="s">
        <v>30</v>
      </c>
      <c r="C139" s="34"/>
      <c r="D139" s="34">
        <v>3</v>
      </c>
      <c r="E139" s="72" t="s">
        <v>108</v>
      </c>
    </row>
    <row r="140" spans="1:5" ht="15.6">
      <c r="A140" s="32" t="s">
        <v>109</v>
      </c>
      <c r="B140" s="38" t="s">
        <v>30</v>
      </c>
      <c r="C140" s="34"/>
      <c r="D140" s="34">
        <v>3</v>
      </c>
      <c r="E140" s="72" t="s">
        <v>107</v>
      </c>
    </row>
    <row r="141" spans="1:5" ht="15.6">
      <c r="A141" s="32" t="s">
        <v>111</v>
      </c>
      <c r="B141" s="38" t="s">
        <v>30</v>
      </c>
      <c r="C141" s="34"/>
      <c r="D141" s="34">
        <v>10</v>
      </c>
      <c r="E141" s="72" t="s">
        <v>112</v>
      </c>
    </row>
    <row r="142" spans="1:5" ht="31.2">
      <c r="A142" s="32" t="s">
        <v>264</v>
      </c>
      <c r="B142" s="38" t="s">
        <v>30</v>
      </c>
      <c r="C142" s="34"/>
      <c r="D142" s="34">
        <v>1</v>
      </c>
      <c r="E142" s="72" t="s">
        <v>299</v>
      </c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Data Layout</vt:lpstr>
      <vt:lpstr>State code</vt:lpstr>
      <vt:lpstr>chhv1</vt:lpstr>
      <vt:lpstr>cperv1</vt:lpstr>
      <vt:lpstr>chhv1!Print_Area</vt:lpstr>
      <vt:lpstr>cperv1!Print_Area</vt:lpstr>
      <vt:lpstr>'State code'!Print_Area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Acer3</cp:lastModifiedBy>
  <cp:lastPrinted>2019-02-26T09:18:14Z</cp:lastPrinted>
  <dcterms:created xsi:type="dcterms:W3CDTF">2019-02-26T05:25:44Z</dcterms:created>
  <dcterms:modified xsi:type="dcterms:W3CDTF">2025-03-30T09:04:51Z</dcterms:modified>
</cp:coreProperties>
</file>